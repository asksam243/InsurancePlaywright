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Release Gate" sheetId="3" state="visible" r:id="rId5"/>
    <sheet name="Traceability - Risks" sheetId="4" state="visible" r:id="rId6"/>
    <sheet name="Traceability - Defects" sheetId="5" state="visible" r:id="rId7"/>
    <sheet name="Exploration Log" sheetId="6" state="visible" r:id="rId8"/>
    <sheet name="Limitations" sheetId="7" state="visible" r:id="rId9"/>
  </sheets>
  <definedNames>
    <definedName function="false" hidden="true" localSheetId="1" name="_xlnm._FilterDatabase" vbProcedure="false">'Test Cases'!$A$4:$AA$109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<sst xmlns="http://schemas.openxmlformats.org/spreadsheetml/2006/main" count="3208" uniqueCount="1187">
  <si>
    <t xml:space="preserve">Summary</t>
  </si>
  <si>
    <t xml:space="preserve">All figures are formulas over the Test Cases sheet.</t>
  </si>
  <si>
    <t xml:space="preserve">Module</t>
  </si>
  <si>
    <t xml:space="preserve">Total</t>
  </si>
  <si>
    <t xml:space="preserve">P1 (release gate)</t>
  </si>
  <si>
    <t xml:space="preserve">P2</t>
  </si>
  <si>
    <t xml:space="preserve">P3</t>
  </si>
  <si>
    <t xml:space="preserve">Smoke</t>
  </si>
  <si>
    <t xml:space="preserve">Seeded-defect checks</t>
  </si>
  <si>
    <t xml:space="preserve">Automated</t>
  </si>
  <si>
    <t xml:space="preserve">Blocked</t>
  </si>
  <si>
    <t xml:space="preserve">Sensitive</t>
  </si>
  <si>
    <t xml:space="preserve">Authentication &amp; Session</t>
  </si>
  <si>
    <t xml:space="preserve">Agent Dashboard</t>
  </si>
  <si>
    <t xml:space="preserve">Client / Insured Information</t>
  </si>
  <si>
    <t xml:space="preserve">Product Selection &amp; Policy Configuration</t>
  </si>
  <si>
    <t xml:space="preserve">Rider Selection</t>
  </si>
  <si>
    <t xml:space="preserve">Beneficiary Management</t>
  </si>
  <si>
    <t xml:space="preserve">Document Upload</t>
  </si>
  <si>
    <t xml:space="preserve">Validation Summary</t>
  </si>
  <si>
    <t xml:space="preserve">Submission &amp; Status Tracking</t>
  </si>
  <si>
    <t xml:space="preserve">API Validation</t>
  </si>
  <si>
    <t xml:space="preserve">Database Validation</t>
  </si>
  <si>
    <t xml:space="preserve">Framework Self-Checks</t>
  </si>
  <si>
    <t xml:space="preserve">P1 share of all cases (Submission 1: 50%)</t>
  </si>
  <si>
    <t xml:space="preserve">Release gate within 15-20?</t>
  </si>
  <si>
    <t xml:space="preserve">Automation coverage (automated / total)</t>
  </si>
  <si>
    <t xml:space="preserve">Risks covered</t>
  </si>
  <si>
    <t xml:space="preserve">Reported issues covered</t>
  </si>
  <si>
    <t xml:space="preserve">Notes</t>
  </si>
  <si>
    <t xml:space="preserve">Automated = a Playwright test exists for the case. Blocked = cannot be automated yet (database access, Q04).</t>
  </si>
  <si>
    <t xml:space="preserve">Execution against the real lab application has NOT yet been done - see the Limitations sheet.</t>
  </si>
  <si>
    <t xml:space="preserve">Test Case Design Sheet - Insurance Order Entry Platform (Submission 2)</t>
  </si>
  <si>
    <t xml:space="preserve">Generated from test-design/testCases.js. Edit the .js file (single source of truth) and re-run: npm run export:testdesign &amp;&amp; python scripts/build_test_sheet.py</t>
  </si>
  <si>
    <t xml:space="preserve">Test Case ID</t>
  </si>
  <si>
    <t xml:space="preserve">Title</t>
  </si>
  <si>
    <t xml:space="preserve">Scenario ID</t>
  </si>
  <si>
    <t xml:space="preserve">Source</t>
  </si>
  <si>
    <t xml:space="preserve">Requirement / Risk Link (Submission 1 risk IDs)</t>
  </si>
  <si>
    <t xml:space="preserve">Seeded Defect Theme (reported issue)</t>
  </si>
  <si>
    <t xml:space="preserve">Seeded Defect Catalog Code (fill when received)</t>
  </si>
  <si>
    <t xml:space="preserve">Test Type</t>
  </si>
  <si>
    <t xml:space="preserve">Layer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</si>
  <si>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</si>
  <si>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</si>
  <si>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</si>
  <si>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</si>
  <si>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Severity</t>
  </si>
  <si>
    <t xml:space="preserve">Priority (P1 = release gate)</t>
  </si>
  <si>
    <t xml:space="preserve">Submission 1 Priority</t>
  </si>
  <si>
    <t xml:space="preserve">Release Gate</t>
  </si>
  <si>
    <t xml:space="preserve">Sensitive Data (no trace/video)</t>
  </si>
  <si>
    <t xml:space="preserve">Evidence Required</t>
  </si>
  <si>
    <t xml:space="preserve">Automation Status</t>
  </si>
  <si>
    <t xml:space="preserve">Automated In</t>
  </si>
  <si>
    <t xml:space="preserve">Run Conditions / TBC</t>
  </si>
  <si>
    <t xml:space="preserve">Open Questions</t>
  </si>
  <si>
    <t xml:space="preserve">Blocked Reason</t>
  </si>
  <si>
    <t xml:space="preserve">Tags</t>
  </si>
  <si>
    <t xml:space="preserve">TC-AUTH-V01</t>
  </si>
  <si>
    <t xml:space="preserve">Valid agent logs in; dashboard URL and greeting asserted</t>
  </si>
  <si>
    <t xml:space="preserve">AUTH-V01</t>
  </si>
  <si>
    <t xml:space="preserve">S1</t>
  </si>
  <si>
    <t xml:space="preserve">R01</t>
  </si>
  <si>
    <t xml:space="preserve">RI-01: Valid agents cannot log in after authentication changes</t>
  </si>
  <si>
    <t xml:space="preserve">UI Positive</t>
  </si>
  <si>
    <t xml:space="preserve">UI</t>
  </si>
  <si>
    <t xml:space="preserve">Seeded valid agent exists and is active; browser has no session</t>
  </si>
  <si>
    <t xml:space="preserve">1. Open /login
2. Enter valid agent email and password
3. Click Log in</t>
  </si>
  <si>
    <t xml:space="preserve">AGENT_VALID_EMAIL / AGENT_VALID_PASSWORD</t>
  </si>
  <si>
    <t xml:space="preserve">Browser leaves /login and lands on the dashboard; the logout control is visible</t>
  </si>
  <si>
    <t xml:space="preserve">Critical</t>
  </si>
  <si>
    <t xml:space="preserve">P1</t>
  </si>
  <si>
    <t xml:space="preserve">Y</t>
  </si>
  <si>
    <t xml:space="preserve">N</t>
  </si>
  <si>
    <t xml:space="preserve">Screenshot attached on pass AND fail; trace/video on failure; diagnostics.json (console + 5xx)</t>
  </si>
  <si>
    <t xml:space="preserve">tests/ui/auth.spec.js</t>
  </si>
  <si>
    <t xml:space="preserve">@regression @authentication @p1 @smoke @release-gate @seeded</t>
  </si>
  <si>
    <t xml:space="preserve">TC-AUTH-V02</t>
  </si>
  <si>
    <t xml:space="preserve">Invalid password shows correct error message</t>
  </si>
  <si>
    <t xml:space="preserve">AUTH-V02</t>
  </si>
  <si>
    <t xml:space="preserve">R02</t>
  </si>
  <si>
    <t xml:space="preserve">RI-02: Locked or invalid agents get incorrect / misleading messages</t>
  </si>
  <si>
    <t xml:space="preserve">UI Negative</t>
  </si>
  <si>
    <t xml:space="preserve">Seeded valid agent exists; browser has no session</t>
  </si>
  <si>
    <t xml:space="preserve">1. Open /login
2. Enter valid email with a WRONG password
3. Click Log in</t>
  </si>
  <si>
    <t xml:space="preserve">AGENT_VALID_EMAIL + AGENT_INVALID_PASSWORD</t>
  </si>
  <si>
    <t xml:space="preserve">Stays on /login; an invalid-credentials message is shown (config/messages.js invalidCredentials); dashboard is not reachable</t>
  </si>
  <si>
    <t xml:space="preserve">High</t>
  </si>
  <si>
    <t xml:space="preserve">@regression @authentication @p2 @seeded</t>
  </si>
  <si>
    <t xml:space="preserve">TC-AUTH-V03</t>
  </si>
  <si>
    <t xml:space="preserve">Blank username/password show mandatory field errors</t>
  </si>
  <si>
    <t xml:space="preserve">AUTH-V03</t>
  </si>
  <si>
    <t xml:space="preserve">Browser has no session</t>
  </si>
  <si>
    <t xml:space="preserve">1. Open /login
2. Leave email and password empty
3. Click Log in</t>
  </si>
  <si>
    <t xml:space="preserve">none</t>
  </si>
  <si>
    <t xml:space="preserve">Stays on /login; each empty field is flagged as required (inline message or browser validity state)</t>
  </si>
  <si>
    <t xml:space="preserve">Medium</t>
  </si>
  <si>
    <t xml:space="preserve">Screenshot + trace on failure</t>
  </si>
  <si>
    <t xml:space="preserve">@regression @authentication @p2</t>
  </si>
  <si>
    <t xml:space="preserve">TC-AUTH-V04</t>
  </si>
  <si>
    <t xml:space="preserve">Logout clears session; protected route redirects to login</t>
  </si>
  <si>
    <t xml:space="preserve">AUTH-V04</t>
  </si>
  <si>
    <t xml:space="preserve">R05</t>
  </si>
  <si>
    <t xml:space="preserve">Valid agent (AGENT_VALID) signed in via saved session; environment reachable</t>
  </si>
  <si>
    <t xml:space="preserve">1. Open the dashboard
2. Click Log out
3. Navigate directly to /dashboard</t>
  </si>
  <si>
    <t xml:space="preserve">Generated synthetic data (utils/dataBuilder.js)</t>
  </si>
  <si>
    <t xml:space="preserve">After logout the login page is shown; navigating to /dashboard redirects back to /login (no stale session)</t>
  </si>
  <si>
    <t xml:space="preserve">@regression @authentication @p2 @smoke</t>
  </si>
  <si>
    <t xml:space="preserve">TC-AUTH-V05</t>
  </si>
  <si>
    <t xml:space="preserve">Direct /dashboard access without login is blocked</t>
  </si>
  <si>
    <t xml:space="preserve">AUTH-V05</t>
  </si>
  <si>
    <t xml:space="preserve">R04</t>
  </si>
  <si>
    <t xml:space="preserve">UI Security</t>
  </si>
  <si>
    <t xml:space="preserve">Fresh browser context with no cookies or storage</t>
  </si>
  <si>
    <t xml:space="preserve">1. Navigate directly to /dashboard without logging in</t>
  </si>
  <si>
    <t xml:space="preserve">Redirected to /login; no dashboard content is rendered</t>
  </si>
  <si>
    <t xml:space="preserve">@regression @authentication @p1 @smoke @release-gate</t>
  </si>
  <si>
    <t xml:space="preserve">TC-AUTH-V06</t>
  </si>
  <si>
    <t xml:space="preserve">Locked user cannot access dashboard; lock message shown</t>
  </si>
  <si>
    <t xml:space="preserve">AUTH-V06</t>
  </si>
  <si>
    <t xml:space="preserve">Seeded locked agent (AGENT_LOCKED) exists</t>
  </si>
  <si>
    <t xml:space="preserve">1. Open /login
2. Enter locked agent credentials
3. Click Log in
4. Navigate to /dashboard</t>
  </si>
  <si>
    <t xml:space="preserve">AGENT_LOCKED_EMAIL / AGENT_LOCKED_PASSWORD</t>
  </si>
  <si>
    <t xml:space="preserve">Stays on /login with an account-locked message (not a generic "invalid password"); /dashboard redirects to login</t>
  </si>
  <si>
    <t xml:space="preserve">@regression @authentication @p1 @release-gate @seeded</t>
  </si>
  <si>
    <t xml:space="preserve">TC-AUTH-V07</t>
  </si>
  <si>
    <t xml:space="preserve">Account locks after five failed attempts</t>
  </si>
  <si>
    <t xml:space="preserve">AUTH-V07</t>
  </si>
  <si>
    <t xml:space="preserve">R03</t>
  </si>
  <si>
    <t xml:space="preserve">UI Boundary</t>
  </si>
  <si>
    <t xml:space="preserve">UI + API</t>
  </si>
  <si>
    <t xml:space="preserve">DISPOSABLE agent (AGENT_LOCKOUT) that may be left locked; lock rule per assumption A06/Q07</t>
  </si>
  <si>
    <t xml:space="preserve">1. Attempt login with a wrong password 4 times
2. Confirm the message is still "invalid credentials"
3. Attempt a 5th wrong login (either message is acceptable - Q07)
4. Attempt login with the CORRECT password</t>
  </si>
  <si>
    <t xml:space="preserve">AGENT_LOCKOUT_EMAIL; LOCKOUT_ATTEMPTS (default 5)</t>
  </si>
  <si>
    <t xml:space="preserve">Attempts 1-4 show invalid-credentials; after the 5th failure the CORRECT password is refused with the account-locked message</t>
  </si>
  <si>
    <t xml:space="preserve">Set AGENT_LOCKOUT_EMAIL (destructive: locks the account)</t>
  </si>
  <si>
    <t xml:space="preserve">@regression @authentication @p2 @seeded @api</t>
  </si>
  <si>
    <t xml:space="preserve">TC-AUTH-V08</t>
  </si>
  <si>
    <t xml:space="preserve">Password policy rejects weak password (reset/change)</t>
  </si>
  <si>
    <t xml:space="preserve">AUTH-V08</t>
  </si>
  <si>
    <t xml:space="preserve">R06</t>
  </si>
  <si>
    <t xml:space="preserve">RI-03: Password policy not consistently enforced</t>
  </si>
  <si>
    <t xml:space="preserve">DISPOSABLE reset agent (AGENT_RESET); simulated OTP known (OTP_CODE)</t>
  </si>
  <si>
    <t xml:space="preserve">1. Open /forgot-password and request a reset for the reset agent
2. Enter the OTP
3. For each weak password (short, no digit, no uppercase, common word) set it as the new password</t>
  </si>
  <si>
    <t xml:space="preserve">AGENT_RESET_EMAIL; OTP_CODE; weak password list in tests/ui/auth.spec.js</t>
  </si>
  <si>
    <t xml:space="preserve">Every weak password is rejected with a password-policy message; the password is not changed</t>
  </si>
  <si>
    <t xml:space="preserve">Set AGENT_RESET_EMAIL and OTP_CODE (Q08, Q09)</t>
  </si>
  <si>
    <t xml:space="preserve">Q08, Q09</t>
  </si>
  <si>
    <t xml:space="preserve">TC-AUTH-V09</t>
  </si>
  <si>
    <t xml:space="preserve">MFA/OTP simulation login</t>
  </si>
  <si>
    <t xml:space="preserve">AUTH-V09</t>
  </si>
  <si>
    <t xml:space="preserve">S1+</t>
  </si>
  <si>
    <t xml:space="preserve">Seeded MFA agent (AGENT_MFA); simulated OTP known (OTP_CODE)</t>
  </si>
  <si>
    <t xml:space="preserve">1. Log in with MFA agent credentials
2. Confirm OTP prompt
3. Enter a WRONG OTP
4. Enter the correct OTP</t>
  </si>
  <si>
    <t xml:space="preserve">AGENT_MFA_EMAIL; OTP_CODE</t>
  </si>
  <si>
    <t xml:space="preserve">OTP prompt appears; wrong OTP is rejected; correct OTP completes login to the dashboard</t>
  </si>
  <si>
    <t xml:space="preserve">Set AGENT_MFA_EMAIL and OTP_CODE (Q06, Q08)</t>
  </si>
  <si>
    <t xml:space="preserve">Q06, Q08</t>
  </si>
  <si>
    <t xml:space="preserve">TC-AUTH-V10</t>
  </si>
  <si>
    <t xml:space="preserve">Session timeout redirects to login</t>
  </si>
  <si>
    <t xml:space="preserve">AUTH-V10</t>
  </si>
  <si>
    <t xml:space="preserve">1. Log in
2. Stay idle for SESSION_TIMEOUT_SECONDS + 2 seconds
3. Navigate to a protected page</t>
  </si>
  <si>
    <t xml:space="preserve">SESSION_TIMEOUT_SECONDS (short value on a test environment)</t>
  </si>
  <si>
    <t xml:space="preserve">The expired session is redirected to /login</t>
  </si>
  <si>
    <t xml:space="preserve">Set SESSION_TIMEOUT_SECONDS (Q07); keep it small</t>
  </si>
  <si>
    <t xml:space="preserve">Q07</t>
  </si>
  <si>
    <t xml:space="preserve">TC-AUTH-V11</t>
  </si>
  <si>
    <t xml:space="preserve">Forgot-password flow (/forgot-password)</t>
  </si>
  <si>
    <t xml:space="preserve">AUTH-V11</t>
  </si>
  <si>
    <t xml:space="preserve">1. Open /login
2. Click the forgot-password link
3. Enter the agent email
4. Submit</t>
  </si>
  <si>
    <t xml:space="preserve">The forgot-password page opens and submitting a known email shows a confirmation or the OTP step (no error)</t>
  </si>
  <si>
    <t xml:space="preserve">Low</t>
  </si>
  <si>
    <t xml:space="preserve">@regression @authentication @p3</t>
  </si>
  <si>
    <t xml:space="preserve">TC-AUTH-V12</t>
  </si>
  <si>
    <t xml:space="preserve">Reset OTP: wrong OTP rejected; correct OTP reaches new-password step</t>
  </si>
  <si>
    <t xml:space="preserve">AUTH-V12</t>
  </si>
  <si>
    <t xml:space="preserve">S2+</t>
  </si>
  <si>
    <t xml:space="preserve">1. Open /forgot-password and request a reset
2. Enter a WRONG OTP
3. Enter the correct OTP</t>
  </si>
  <si>
    <t xml:space="preserve">AGENT_RESET_EMAIL; OTP_CODE</t>
  </si>
  <si>
    <t xml:space="preserve">Wrong OTP shows an OTP error and does not advance; correct OTP shows the new-password fields (password is NOT changed by this test)</t>
  </si>
  <si>
    <t xml:space="preserve">Set AGENT_RESET_EMAIL and OTP_CODE (Q08)</t>
  </si>
  <si>
    <t xml:space="preserve">Q08</t>
  </si>
  <si>
    <t xml:space="preserve">TC-AUTH-V13</t>
  </si>
  <si>
    <t xml:space="preserve">New password identical to the current password is rejected</t>
  </si>
  <si>
    <t xml:space="preserve">AUTH-V13</t>
  </si>
  <si>
    <t xml:space="preserve">DISPOSABLE reset agent (AGENT_RESET); OTP_CODE known</t>
  </si>
  <si>
    <t xml:space="preserve">1. Request reset and pass the OTP step
2. Enter the CURRENT password as the new password and confirm
3. Submit</t>
  </si>
  <si>
    <t xml:space="preserve">AGENT_RESET_EMAIL / AGENT_RESET_PASSWORD; OTP_CODE</t>
  </si>
  <si>
    <t xml:space="preserve">Rejected with a "must differ from current password" style message</t>
  </si>
  <si>
    <t xml:space="preserve">Set AGENT_RESET_EMAIL and OTP_CODE</t>
  </si>
  <si>
    <t xml:space="preserve">TC-DASH-V01</t>
  </si>
  <si>
    <t xml:space="preserve">Dashboard loads: draft/submitted summary and New Application CTA</t>
  </si>
  <si>
    <t xml:space="preserve">DASH-V01</t>
  </si>
  <si>
    <t xml:space="preserve">R07</t>
  </si>
  <si>
    <t xml:space="preserve">1. Open the dashboard</t>
  </si>
  <si>
    <t xml:space="preserve">New Application control is visible; draft and submitted summary figures are displayed as numbers</t>
  </si>
  <si>
    <t xml:space="preserve">tests/ui/dashboard.spec.js</t>
  </si>
  <si>
    <t xml:space="preserve">@regression @dashboard @p2 @smoke</t>
  </si>
  <si>
    <t xml:space="preserve">TC-DASH-V02</t>
  </si>
  <si>
    <t xml:space="preserve">Agent sees only own applications (multi-agent isolation)</t>
  </si>
  <si>
    <t xml:space="preserve">DASH-V02</t>
  </si>
  <si>
    <t xml:space="preserve">R08</t>
  </si>
  <si>
    <t xml:space="preserve">Two seeded agents (AGENT_VALID, AGENT_SECOND), each with applications</t>
  </si>
  <si>
    <t xml:space="preserve">1. Open dashboard as agent A and collect row identifiers
2. Open dashboard as agent B and collect row identifiers
3. Compare the two sets</t>
  </si>
  <si>
    <t xml:space="preserve">AGENT_VALID_*, AGENT_SECOND_*</t>
  </si>
  <si>
    <t xml:space="preserve">The two sets of application rows do not overlap</t>
  </si>
  <si>
    <t xml:space="preserve">Set AGENT_SECOND_EMAIL (Q06)</t>
  </si>
  <si>
    <t xml:space="preserve">Q06</t>
  </si>
  <si>
    <t xml:space="preserve">@regression @dashboard @p1 @release-gate @api</t>
  </si>
  <si>
    <t xml:space="preserve">TC-DASH-V03</t>
  </si>
  <si>
    <t xml:space="preserve">New agent sees empty-state copy and CTA</t>
  </si>
  <si>
    <t xml:space="preserve">DASH-V03</t>
  </si>
  <si>
    <t xml:space="preserve">Seeded NEW agent (AGENT_NEW) with zero applications</t>
  </si>
  <si>
    <t xml:space="preserve">1. Sign in as the new agent
2. Open the dashboard</t>
  </si>
  <si>
    <t xml:space="preserve">AGENT_NEW_*</t>
  </si>
  <si>
    <t xml:space="preserve">Empty-state text and the New Application control are visible; no application rows</t>
  </si>
  <si>
    <t xml:space="preserve">Set AGENT_NEW_EMAIL (Q06)</t>
  </si>
  <si>
    <t xml:space="preserve">@regression @dashboard @p3</t>
  </si>
  <si>
    <t xml:space="preserve">TC-DASH-V04</t>
  </si>
  <si>
    <t xml:space="preserve">Draft can be resumed from dashboard with saved data</t>
  </si>
  <si>
    <t xml:space="preserve">DASH-V04</t>
  </si>
  <si>
    <t xml:space="preserve">R09</t>
  </si>
  <si>
    <t xml:space="preserve">RI-16: Draft data not persisted</t>
  </si>
  <si>
    <t xml:space="preserve">Valid agent (AGENT_VALID) signed in via saved session; environment reachable; client step reachable</t>
  </si>
  <si>
    <t xml:space="preserve">1. Start a new application
2. Fill the client step and Save draft
3. Go to the dashboard
4. Resume the draft row
5. Read the client first name</t>
  </si>
  <si>
    <t xml:space="preserve">The resumed draft shows the client first name that was saved</t>
  </si>
  <si>
    <t xml:space="preserve">@regression @dashboard @p2 @seeded</t>
  </si>
  <si>
    <t xml:space="preserve">TC-DASH-V05</t>
  </si>
  <si>
    <t xml:space="preserve">Status filters (Draft/Submitted/Approved) return correct rows</t>
  </si>
  <si>
    <t xml:space="preserve">DASH-V05</t>
  </si>
  <si>
    <t xml:space="preserve">1. Open the dashboard
2. For each status filter value (Draft, Submitted, Approved) apply the filter
3. Read the status of every visible row</t>
  </si>
  <si>
    <t xml:space="preserve">Every visible row has the selected status (an empty result is acceptable only if no such applications exist)</t>
  </si>
  <si>
    <t xml:space="preserve">@regression @dashboard @p2</t>
  </si>
  <si>
    <t xml:space="preserve">TC-DASH-V06</t>
  </si>
  <si>
    <t xml:space="preserve">Dashboard status matches Application Status API</t>
  </si>
  <si>
    <t xml:space="preserve">DASH-V06</t>
  </si>
  <si>
    <t xml:space="preserve">RI-18: Dashboard status differs from backend status</t>
  </si>
  <si>
    <t xml:space="preserve">UI-API Integration</t>
  </si>
  <si>
    <t xml:space="preserve">1. Open the dashboard and read id and status of up to 5 rows
2. Call GET /applications/{id}/status for each
3. Compare</t>
  </si>
  <si>
    <t xml:space="preserve">UI status equals API status for every compared application</t>
  </si>
  <si>
    <t xml:space="preserve">Screenshot + API response attached</t>
  </si>
  <si>
    <t xml:space="preserve">tests/integration/ui-api.spec.js</t>
  </si>
  <si>
    <t xml:space="preserve">@regression @dashboard @p2 @seeded @api</t>
  </si>
  <si>
    <t xml:space="preserve">TC-DASH-V07</t>
  </si>
  <si>
    <t xml:space="preserve">Dashboard search returns matching applications</t>
  </si>
  <si>
    <t xml:space="preserve">DASH-V07</t>
  </si>
  <si>
    <t xml:space="preserve">Valid agent (AGENT_VALID) signed in via saved session; environment reachable; at least one application exists</t>
  </si>
  <si>
    <t xml:space="preserve">1. Open the dashboard
2. Take a search term from the first row
3. Search for it</t>
  </si>
  <si>
    <t xml:space="preserve">At least one row is shown and every shown row contains the term</t>
  </si>
  <si>
    <t xml:space="preserve">TC-CLI-V01</t>
  </si>
  <si>
    <t xml:space="preserve">Valid insured personal information enables next step</t>
  </si>
  <si>
    <t xml:space="preserve">CLI-V01</t>
  </si>
  <si>
    <t xml:space="preserve">R10</t>
  </si>
  <si>
    <t xml:space="preserve">Valid agent (AGENT_VALID) signed in via saved session; environment reachable; NEW application open at the client step (first step)</t>
  </si>
  <si>
    <t xml:space="preserve">1. Fill every client field with valid data
2. Click Next</t>
  </si>
  <si>
    <t xml:space="preserve">Navigation moves to the next step (step title changes) with no validation errors</t>
  </si>
  <si>
    <t xml:space="preserve">tests/ui/client.spec.js</t>
  </si>
  <si>
    <t xml:space="preserve">@regression @client @p2 @smoke</t>
  </si>
  <si>
    <t xml:space="preserve">TC-CLI-V02</t>
  </si>
  <si>
    <t xml:space="preserve">Mandatory personal fields validated inline</t>
  </si>
  <si>
    <t xml:space="preserve">CLI-V02</t>
  </si>
  <si>
    <t xml:space="preserve">1. Leave all client fields empty
2. Click Next</t>
  </si>
  <si>
    <t xml:space="preserve">User stays on the step; first name, last name and date of birth each show a required message</t>
  </si>
  <si>
    <t xml:space="preserve">@regression @client @p2</t>
  </si>
  <si>
    <t xml:space="preserve">TC-CLI-V03</t>
  </si>
  <si>
    <t xml:space="preserve">DOB under 18 rejected (age boundary)</t>
  </si>
  <si>
    <t xml:space="preserve">CLI-V03</t>
  </si>
  <si>
    <t xml:space="preserve">RI-04: Client age eligibility rules (18-65) missed</t>
  </si>
  <si>
    <t xml:space="preserve">1. Enter DOB for a person who turns 18 TOMORROW (age 17) and click Next
2. Enter DOB for a person exactly 18 today and click Next</t>
  </si>
  <si>
    <t xml:space="preserve">dobForAge(18,{dayOffset:1}) and dobForAge(18)</t>
  </si>
  <si>
    <t xml:space="preserve">Age 17 is rejected with an eligibility message and the step does not advance; age 18 is accepted (inclusive rule - assumption A06 / Q10)</t>
  </si>
  <si>
    <t xml:space="preserve">@regression @client @p2 @seeded @api</t>
  </si>
  <si>
    <t xml:space="preserve">TC-CLI-V04</t>
  </si>
  <si>
    <t xml:space="preserve">DOB over 65 rejected (age boundary)</t>
  </si>
  <si>
    <t xml:space="preserve">CLI-V04</t>
  </si>
  <si>
    <t xml:space="preserve">1. Enter DOB for a person exactly 66 years old and click Next
2. Enter DOB for a person exactly 65 today and click Next</t>
  </si>
  <si>
    <t xml:space="preserve">dobForAge(66) and dobForAge(65)</t>
  </si>
  <si>
    <t xml:space="preserve">Age 66 is rejected with an eligibility message; age 65 is accepted (inclusive rule - A06 / Q10)</t>
  </si>
  <si>
    <t xml:space="preserve">TC-CLI-V05</t>
  </si>
  <si>
    <t xml:space="preserve">Future DOB rejected</t>
  </si>
  <si>
    <t xml:space="preserve">CLI-V05</t>
  </si>
  <si>
    <t xml:space="preserve">R11</t>
  </si>
  <si>
    <t xml:space="preserve">RI-05: Future date of birth accepted</t>
  </si>
  <si>
    <t xml:space="preserve">1. Enter a DOB of tomorrow and click Next
2. Enter a DOB 5 years in the future and click Next</t>
  </si>
  <si>
    <t xml:space="preserve">futureDate(1), futureDate(1825)</t>
  </si>
  <si>
    <t xml:space="preserve">Both dates are rejected with an invalid-date message and the step does not advance</t>
  </si>
  <si>
    <t xml:space="preserve">@regression @client @p1 @release-gate @seeded @api</t>
  </si>
  <si>
    <t xml:space="preserve">TC-CLI-V06</t>
  </si>
  <si>
    <t xml:space="preserve">Same-as-residential copies address to mailing address</t>
  </si>
  <si>
    <t xml:space="preserve">CLI-V06</t>
  </si>
  <si>
    <t xml:space="preserve">R15</t>
  </si>
  <si>
    <t xml:space="preserve">Valid agent (AGENT_VALID) signed in via saved session; environment reachable; NEW application open at the address step with every earlier step completed using valid data</t>
  </si>
  <si>
    <t xml:space="preserve">1. Fill the residential address
2. Tick "same as residential"
3. Read the mailing address fields</t>
  </si>
  <si>
    <t xml:space="preserve">Mailing line 1, city and ZIP equal the residential values</t>
  </si>
  <si>
    <t xml:space="preserve">@regression @client @p3</t>
  </si>
  <si>
    <t xml:space="preserve">TC-CLI-V07</t>
  </si>
  <si>
    <t xml:space="preserve">Invalid email and phone formats rejected</t>
  </si>
  <si>
    <t xml:space="preserve">CLI-V07</t>
  </si>
  <si>
    <t xml:space="preserve">1. Fill a valid address
2. For each invalid email (no @, no domain, spaces) enter it and click Next
3. For each invalid phone (letters, too short) enter it and click Next</t>
  </si>
  <si>
    <t xml:space="preserve">Invalid email / phone lists in tests/ui/client.spec.js</t>
  </si>
  <si>
    <t xml:space="preserve">Each invalid value shows a format error next to the field and the step does not advance</t>
  </si>
  <si>
    <t xml:space="preserve">TC-CLI-V08</t>
  </si>
  <si>
    <t xml:space="preserve">SSN masked after entry (only last four digits visible)</t>
  </si>
  <si>
    <t xml:space="preserve">CLI-V08</t>
  </si>
  <si>
    <t xml:space="preserve">R12</t>
  </si>
  <si>
    <t xml:space="preserve">RI-07: SSN not masked properly</t>
  </si>
  <si>
    <t xml:space="preserve">Valid agent (AGENT_VALID) signed in via saved session; environment reachable; NEW application open at the kyc step with every earlier step completed using valid data</t>
  </si>
  <si>
    <t xml:space="preserve">1. Enter the synthetic SSN 900-12-3456
2. Leave the field (blur)
3. Read what is visible for the SSN</t>
  </si>
  <si>
    <t xml:space="preserve">Synthetic SSN 900-12-3456 (900-series is never issued)</t>
  </si>
  <si>
    <t xml:space="preserve">Only the last four digits (3456) are visible; the first five digits are masked</t>
  </si>
  <si>
    <t xml:space="preserve">tests/ui/client-kyc-sensitive.spec.js</t>
  </si>
  <si>
    <t xml:space="preserve">@regression @client @p1 @release-gate @sensitive @seeded</t>
  </si>
  <si>
    <t xml:space="preserve">TC-CLI-V09</t>
  </si>
  <si>
    <t xml:space="preserve">KYC upload rejects unsupported file type</t>
  </si>
  <si>
    <t xml:space="preserve">CLI-V09</t>
  </si>
  <si>
    <t xml:space="preserve">R30</t>
  </si>
  <si>
    <t xml:space="preserve">1. Upload an .exe file in the KYC document control</t>
  </si>
  <si>
    <t xml:space="preserve">In-memory malware-test.exe</t>
  </si>
  <si>
    <t xml:space="preserve">An unsupported-type message is shown and the file is not accepted</t>
  </si>
  <si>
    <t xml:space="preserve">Skips if the KYC step has no upload control</t>
  </si>
  <si>
    <t xml:space="preserve">@regression @client @p2 @sensitive</t>
  </si>
  <si>
    <t xml:space="preserve">TC-CLI-V10</t>
  </si>
  <si>
    <t xml:space="preserve">PEP = Yes makes additional details mandatory</t>
  </si>
  <si>
    <t xml:space="preserve">CLI-V10</t>
  </si>
  <si>
    <t xml:space="preserve">R14</t>
  </si>
  <si>
    <t xml:space="preserve">1. Select PEP = Yes
2. Confirm the PEP details field appears
3. Click Next without details</t>
  </si>
  <si>
    <t xml:space="preserve">PEP details field becomes visible and Next is blocked with a required message until it is filled</t>
  </si>
  <si>
    <t xml:space="preserve">TC-CLI-V11</t>
  </si>
  <si>
    <t xml:space="preserve">Postal code format validated</t>
  </si>
  <si>
    <t xml:space="preserve">CLI-V11</t>
  </si>
  <si>
    <t xml:space="preserve">1. Fill a valid address with an invalid ZIP (letters, too short, too long)
2. Click Next</t>
  </si>
  <si>
    <t xml:space="preserve">ZIPs: ABCDE, 123, 0211000000</t>
  </si>
  <si>
    <t xml:space="preserve">Each invalid ZIP is rejected with a postal-code message</t>
  </si>
  <si>
    <t xml:space="preserve">TC-CLI-V12</t>
  </si>
  <si>
    <t xml:space="preserve">Income vs premium affordability validation</t>
  </si>
  <si>
    <t xml:space="preserve">CLI-V12</t>
  </si>
  <si>
    <t xml:space="preserve">R13</t>
  </si>
  <si>
    <t xml:space="preserve">RI-08: Income vs premium affordability not applied</t>
  </si>
  <si>
    <t xml:space="preserve">1. Enter a very LOW annual income
2. Continue to Product and select a product with a very HIGH face value
3. Click Next</t>
  </si>
  <si>
    <t xml:space="preserve">income 12000; face value 5,000,000 (rule undefined - Q11)</t>
  </si>
  <si>
    <t xml:space="preserve">An affordability warning or block referring to income/premium is shown (formula TBC with the product owner)</t>
  </si>
  <si>
    <t xml:space="preserve">@regression @client @p2 @sensitive @seeded @api</t>
  </si>
  <si>
    <t xml:space="preserve">TC-CLI-V13</t>
  </si>
  <si>
    <t xml:space="preserve">Calculated age is displayed after DOB entry</t>
  </si>
  <si>
    <t xml:space="preserve">CLI-V13</t>
  </si>
  <si>
    <t xml:space="preserve">1. Enter a DOB for each of ages 18, 35 and 65
2. Read the displayed age</t>
  </si>
  <si>
    <t xml:space="preserve">dobForAge(18|35|65)</t>
  </si>
  <si>
    <t xml:space="preserve">The age shown equals the age calculated from the DOB (calcAge in utils/dates.js)</t>
  </si>
  <si>
    <t xml:space="preserve">TC-CLI-V14</t>
  </si>
  <si>
    <t xml:space="preserve">Name validation rejects digits and special characters</t>
  </si>
  <si>
    <t xml:space="preserve">CLI-V14</t>
  </si>
  <si>
    <t xml:space="preserve">1. Enter a first name containing digits, click Next
2. Enter a last name containing special characters, click Next</t>
  </si>
  <si>
    <t xml:space="preserve">First name "J0hn123"; last name "O@#$%"</t>
  </si>
  <si>
    <t xml:space="preserve">Each invalid name is rejected with a name-format message and the step does not advance</t>
  </si>
  <si>
    <t xml:space="preserve">TC-CLI-V15</t>
  </si>
  <si>
    <t xml:space="preserve">State is required and validated</t>
  </si>
  <si>
    <t xml:space="preserve">CLI-V15</t>
  </si>
  <si>
    <t xml:space="preserve">1. Fill a valid address but clear the state selection
2. Click Next</t>
  </si>
  <si>
    <t xml:space="preserve">A state-required message is shown and the step does not advance</t>
  </si>
  <si>
    <t xml:space="preserve">Skips if the state control has no empty option</t>
  </si>
  <si>
    <t xml:space="preserve">TC-PROD-V01</t>
  </si>
  <si>
    <t xml:space="preserve">Catalog displays expected Whole Life products</t>
  </si>
  <si>
    <t xml:space="preserve">PROD-V01</t>
  </si>
  <si>
    <t xml:space="preserve">R16</t>
  </si>
  <si>
    <t xml:space="preserve">Valid agent (AGENT_VALID) signed in via saved session; environment reachable; NEW application open at the product step with every earlier step completed using valid data</t>
  </si>
  <si>
    <t xml:space="preserve">1. Open the product step
2. Read the product cards</t>
  </si>
  <si>
    <t xml:space="preserve">PRODUCT_NAME_PATTERN (default "whole life")</t>
  </si>
  <si>
    <t xml:space="preserve">At least one product card is shown and at least one matches the Whole Life pattern</t>
  </si>
  <si>
    <t xml:space="preserve">tests/ui/product.spec.js</t>
  </si>
  <si>
    <t xml:space="preserve">@regression @product @p1 @smoke @release-gate</t>
  </si>
  <si>
    <t xml:space="preserve">TC-PROD-V02</t>
  </si>
  <si>
    <t xml:space="preserve">Product details page shows features, eligibility, limits</t>
  </si>
  <si>
    <t xml:space="preserve">PROD-V02</t>
  </si>
  <si>
    <t xml:space="preserve">1. Open the details of the first product</t>
  </si>
  <si>
    <t xml:space="preserve">Details mention features/benefits and eligibility or limits</t>
  </si>
  <si>
    <t xml:space="preserve">Skips if no details link exists</t>
  </si>
  <si>
    <t xml:space="preserve">@regression @product @p2</t>
  </si>
  <si>
    <t xml:space="preserve">TC-PROD-V03</t>
  </si>
  <si>
    <t xml:space="preserve">Face value below minimum rejected</t>
  </si>
  <si>
    <t xml:space="preserve">PROD-V03</t>
  </si>
  <si>
    <t xml:space="preserve">R17</t>
  </si>
  <si>
    <t xml:space="preserve">1. Select a product
2. Enter face value = minimum - 1
3. Click Next
4. Enter face value = minimum and click Next</t>
  </si>
  <si>
    <t xml:space="preserve">FACE_VALUE_MIN</t>
  </si>
  <si>
    <t xml:space="preserve">minimum-1 is rejected; exactly minimum is accepted</t>
  </si>
  <si>
    <t xml:space="preserve">Set FACE_VALUE_MIN (Q13)</t>
  </si>
  <si>
    <t xml:space="preserve">Q13</t>
  </si>
  <si>
    <t xml:space="preserve">TC-PROD-V04</t>
  </si>
  <si>
    <t xml:space="preserve">Face value above maximum rejected</t>
  </si>
  <si>
    <t xml:space="preserve">PROD-V04</t>
  </si>
  <si>
    <t xml:space="preserve">1. Select a product
2. Enter face value = maximum + 1
3. Click Next</t>
  </si>
  <si>
    <t xml:space="preserve">FACE_VALUE_MAX</t>
  </si>
  <si>
    <t xml:space="preserve">maximum+1 is rejected with a limit message</t>
  </si>
  <si>
    <t xml:space="preserve">Set FACE_VALUE_MAX (Q13)</t>
  </si>
  <si>
    <t xml:space="preserve">TC-PROD-V05</t>
  </si>
  <si>
    <t xml:space="preserve">Premium recalculates when frequency changes</t>
  </si>
  <si>
    <t xml:space="preserve">PROD-V05</t>
  </si>
  <si>
    <t xml:space="preserve">R18</t>
  </si>
  <si>
    <t xml:space="preserve">RI-12: Premium not updated after configuration change</t>
  </si>
  <si>
    <t xml:space="preserve">1. Select a product and set face value
2. Read the premium for Monthly
3. Change frequency to Annual and read the premium
4. Change back to Monthly</t>
  </si>
  <si>
    <t xml:space="preserve">FACE_VALUE_DEFAULT; frequencies Monthly / Annual</t>
  </si>
  <si>
    <t xml:space="preserve">The displayed premium changes when frequency changes and returns to the original value when switched back</t>
  </si>
  <si>
    <t xml:space="preserve">@regression @product @p1 @release-gate @seeded @api</t>
  </si>
  <si>
    <t xml:space="preserve">TC-PROD-V06</t>
  </si>
  <si>
    <t xml:space="preserve">Review-page premium matches configuration page</t>
  </si>
  <si>
    <t xml:space="preserve">PROD-V06</t>
  </si>
  <si>
    <t xml:space="preserve">R18, R19</t>
  </si>
  <si>
    <t xml:space="preserve">UI Consistency</t>
  </si>
  <si>
    <t xml:space="preserve">UI + DB</t>
  </si>
  <si>
    <t xml:space="preserve">1. Select product, configure and read the premium
2. Complete riders (none), beneficiaries and documents
3. Open the review step and read the premium</t>
  </si>
  <si>
    <t xml:space="preserve">Review premium equals the configured premium</t>
  </si>
  <si>
    <t xml:space="preserve">@regression @product @p1 @release-gate @seeded</t>
  </si>
  <si>
    <t xml:space="preserve">TC-PROD-V07</t>
  </si>
  <si>
    <t xml:space="preserve">Suitability warning shown for risk-profile mismatch</t>
  </si>
  <si>
    <t xml:space="preserve">PROD-V07</t>
  </si>
  <si>
    <t xml:space="preserve">RI-09: Product eligibility not validated against age / suitability</t>
  </si>
  <si>
    <t xml:space="preserve">1. Set a Conservative risk profile in KYC
2. Select the product whose risk is a known mismatch
3. Observe the product step</t>
  </si>
  <si>
    <t xml:space="preserve">SUITABILITY_PRODUCT_PATTERN</t>
  </si>
  <si>
    <t xml:space="preserve">A suitability warning is displayed</t>
  </si>
  <si>
    <t xml:space="preserve">Set SUITABILITY_PRODUCT_PATTERN (Q13)</t>
  </si>
  <si>
    <t xml:space="preserve">@regression @product @p2 @seeded</t>
  </si>
  <si>
    <t xml:space="preserve">TC-PROD-V08</t>
  </si>
  <si>
    <t xml:space="preserve">Product eligibility validated against client age</t>
  </si>
  <si>
    <t xml:space="preserve">PROD-V08</t>
  </si>
  <si>
    <t xml:space="preserve">1. Create a client of the ineligible age
2. Continue to Product
3. Select the age-restricted product</t>
  </si>
  <si>
    <t xml:space="preserve">INELIGIBLE_AGE, INELIGIBLE_AGE_PRODUCT_PATTERN</t>
  </si>
  <si>
    <t xml:space="preserve">The product is disabled, or selecting it shows an eligibility message and does not advance</t>
  </si>
  <si>
    <t xml:space="preserve">Set INELIGIBLE_AGE and INELIGIBLE_AGE_PRODUCT_PATTERN (Q13)</t>
  </si>
  <si>
    <t xml:space="preserve">@regression @product @p2 @seeded @api</t>
  </si>
  <si>
    <t xml:space="preserve">TC-PROD-V09</t>
  </si>
  <si>
    <t xml:space="preserve">Payment term and policy term options follow product rules</t>
  </si>
  <si>
    <t xml:space="preserve">PROD-V09</t>
  </si>
  <si>
    <t xml:space="preserve">1. Select a product
2. Read payment-term and policy-term options</t>
  </si>
  <si>
    <t xml:space="preserve">Both lists are non-empty and contain no duplicate options (term-combination rules TBC - Q14)</t>
  </si>
  <si>
    <t xml:space="preserve">Skips if the terms are not dropdowns</t>
  </si>
  <si>
    <t xml:space="preserve">TC-PROD-V10</t>
  </si>
  <si>
    <t xml:space="preserve">Inactive product cannot be selected</t>
  </si>
  <si>
    <t xml:space="preserve">PROD-V10</t>
  </si>
  <si>
    <t xml:space="preserve">1. Find product cards marked inactive
2. Try to select one</t>
  </si>
  <si>
    <t xml:space="preserve">The select control is disabled (or selection is refused) for every inactive product</t>
  </si>
  <si>
    <t xml:space="preserve">Skips if the environment shows no inactive product</t>
  </si>
  <si>
    <t xml:space="preserve">TC-PROD-V11</t>
  </si>
  <si>
    <t xml:space="preserve">Product configuration persists after save draft and reload</t>
  </si>
  <si>
    <t xml:space="preserve">PROD-V11</t>
  </si>
  <si>
    <t xml:space="preserve">R33, R18</t>
  </si>
  <si>
    <t xml:space="preserve">1. Select a product and set face value and frequency
2. Save draft
3. Reload the page
4. Read face value and frequency</t>
  </si>
  <si>
    <t xml:space="preserve">Face value and frequency are unchanged after reload</t>
  </si>
  <si>
    <t xml:space="preserve">TC-RIDER-V01</t>
  </si>
  <si>
    <t xml:space="preserve">Eligible protection rider (ADB) added to premium summary</t>
  </si>
  <si>
    <t xml:space="preserve">RIDER-V01</t>
  </si>
  <si>
    <t xml:space="preserve">R23</t>
  </si>
  <si>
    <t xml:space="preserve">Valid agent (AGENT_VALID) signed in via saved session; environment reachable; NEW application open at the riders step with every earlier step completed using valid data</t>
  </si>
  <si>
    <t xml:space="preserve">1. Add the Accidental Death Benefit rider
2. Read the rider premium summary</t>
  </si>
  <si>
    <t xml:space="preserve">RIDER_ADB_PATTERN</t>
  </si>
  <si>
    <t xml:space="preserve">The rider shows as added and a rider premium greater than zero appears in the summary</t>
  </si>
  <si>
    <t xml:space="preserve">tests/ui/riders.spec.js</t>
  </si>
  <si>
    <t xml:space="preserve">@regression @rider @p2 @smoke</t>
  </si>
  <si>
    <t xml:space="preserve">TC-RIDER-V02</t>
  </si>
  <si>
    <t xml:space="preserve">Rider coverage cannot exceed base face value</t>
  </si>
  <si>
    <t xml:space="preserve">RIDER-V02</t>
  </si>
  <si>
    <t xml:space="preserve">R20</t>
  </si>
  <si>
    <t xml:space="preserve">RI-10: Rider coverage exceeds base face value</t>
  </si>
  <si>
    <t xml:space="preserve">1. Add the ADB rider
2. Enter rider coverage = face value + 1</t>
  </si>
  <si>
    <t xml:space="preserve">FACE_VALUE_DEFAULT + 1</t>
  </si>
  <si>
    <t xml:space="preserve">A rider-exceeds-face-value message is shown and the value is not accepted</t>
  </si>
  <si>
    <t xml:space="preserve">@regression @rider @p1 @release-gate @seeded @api</t>
  </si>
  <si>
    <t xml:space="preserve">TC-RIDER-V03</t>
  </si>
  <si>
    <t xml:space="preserve">Age-ineligible rider disabled or blocked</t>
  </si>
  <si>
    <t xml:space="preserve">RIDER-V03</t>
  </si>
  <si>
    <t xml:space="preserve">R22</t>
  </si>
  <si>
    <t xml:space="preserve">Valid agent (AGENT_VALID) signed in via saved session; environment reachable; client step completed with a client of the age that makes the rider ineligible</t>
  </si>
  <si>
    <t xml:space="preserve">1. Open the rider step
2. Try to add the age-restricted rider</t>
  </si>
  <si>
    <t xml:space="preserve">RIDER_AGE_RESTRICTED_PATTERN; client age 64</t>
  </si>
  <si>
    <t xml:space="preserve">The rider control is disabled, or adding it shows an eligibility message</t>
  </si>
  <si>
    <t xml:space="preserve">Set RIDER_AGE_RESTRICTED_PATTERN (Q15)</t>
  </si>
  <si>
    <t xml:space="preserve">Q15</t>
  </si>
  <si>
    <t xml:space="preserve">@regression @rider @p2</t>
  </si>
  <si>
    <t xml:space="preserve">TC-RIDER-V04</t>
  </si>
  <si>
    <t xml:space="preserve">Maximum rider count enforced with message</t>
  </si>
  <si>
    <t xml:space="preserve">RIDER-V04</t>
  </si>
  <si>
    <t xml:space="preserve">1. Add riders up to the maximum
2. Try to add one more</t>
  </si>
  <si>
    <t xml:space="preserve">MAX_RIDERS</t>
  </si>
  <si>
    <t xml:space="preserve">The extra rider is refused with a maximum-count message</t>
  </si>
  <si>
    <t xml:space="preserve">Set MAX_RIDERS (Q15); needs more rider cards than the maximum</t>
  </si>
  <si>
    <t xml:space="preserve">TC-RIDER-V05</t>
  </si>
  <si>
    <t xml:space="preserve">Mutually exclusive waiver riders cannot both be selected</t>
  </si>
  <si>
    <t xml:space="preserve">RIDER-V05</t>
  </si>
  <si>
    <t xml:space="preserve">R21</t>
  </si>
  <si>
    <t xml:space="preserve">RI-11: Exclusive waiver riders both selectable</t>
  </si>
  <si>
    <t xml:space="preserve">1. Add waiver rider A
2. Try to add waiver rider B</t>
  </si>
  <si>
    <t xml:space="preserve">RIDER_WAIVER_A_PATTERN / RIDER_WAIVER_B_PATTERN</t>
  </si>
  <si>
    <t xml:space="preserve">Rider B is disabled or refused with a message; both are never selected at once</t>
  </si>
  <si>
    <t xml:space="preserve">Set RIDER_WAIVER_A_PATTERN and RIDER_WAIVER_B_PATTERN (Q15)</t>
  </si>
  <si>
    <t xml:space="preserve">@regression @rider @p2 @seeded</t>
  </si>
  <si>
    <t xml:space="preserve">TC-RIDER-V06</t>
  </si>
  <si>
    <t xml:space="preserve">Critical illness rider triggers health questionnaire</t>
  </si>
  <si>
    <t xml:space="preserve">RIDER-V06</t>
  </si>
  <si>
    <t xml:space="preserve">1. Add the Critical Illness rider</t>
  </si>
  <si>
    <t xml:space="preserve">RIDER_CRITICAL_ILLNESS_PATTERN</t>
  </si>
  <si>
    <t xml:space="preserve">The health questionnaire is displayed</t>
  </si>
  <si>
    <t xml:space="preserve">Skips if no critical illness rider is offered</t>
  </si>
  <si>
    <t xml:space="preserve">TC-RIDER-V07</t>
  </si>
  <si>
    <t xml:space="preserve">Rider premium itemized and total premium updated</t>
  </si>
  <si>
    <t xml:space="preserve">RIDER-V07</t>
  </si>
  <si>
    <t xml:space="preserve">1. Read total premium
2. Add the ADB rider
3. Read the rider premium and the new total</t>
  </si>
  <si>
    <t xml:space="preserve">New total = old total + rider premium (to 2 decimals)</t>
  </si>
  <si>
    <t xml:space="preserve">TC-BEN-V01</t>
  </si>
  <si>
    <t xml:space="preserve">Valid primary beneficiary added (card/row appears)</t>
  </si>
  <si>
    <t xml:space="preserve">BEN-V01</t>
  </si>
  <si>
    <t xml:space="preserve">R24</t>
  </si>
  <si>
    <t xml:space="preserve">Valid agent (AGENT_VALID) signed in via saved session; environment reachable; NEW application open at the beneficiaries step with every earlier step completed using valid data</t>
  </si>
  <si>
    <t xml:space="preserve">1. Fill an individual primary beneficiary with 100% allocation
2. Save</t>
  </si>
  <si>
    <t xml:space="preserve">One beneficiary row appears containing the entered name</t>
  </si>
  <si>
    <t xml:space="preserve">tests/ui/beneficiaries.spec.js</t>
  </si>
  <si>
    <t xml:space="preserve">@regression @beneficiary @p2 @smoke</t>
  </si>
  <si>
    <t xml:space="preserve">TC-BEN-V02</t>
  </si>
  <si>
    <t xml:space="preserve">Primary allocation below 100% blocks progression</t>
  </si>
  <si>
    <t xml:space="preserve">BEN-V02</t>
  </si>
  <si>
    <t xml:space="preserve">RI-13: Allocation below / above 100% allowed</t>
  </si>
  <si>
    <t xml:space="preserve">UI + API + DB</t>
  </si>
  <si>
    <t xml:space="preserve">1. Add one primary beneficiary with 60% (and 99%)
2. Click Next</t>
  </si>
  <si>
    <t xml:space="preserve">Allocations 60 and 99</t>
  </si>
  <si>
    <t xml:space="preserve">Progression is blocked with an allocation message (total must equal 100)</t>
  </si>
  <si>
    <t xml:space="preserve">@regression @beneficiary @p1 @release-gate @seeded @api</t>
  </si>
  <si>
    <t xml:space="preserve">TC-BEN-V03</t>
  </si>
  <si>
    <t xml:space="preserve">Primary allocation above 100% blocks progression</t>
  </si>
  <si>
    <t xml:space="preserve">BEN-V03</t>
  </si>
  <si>
    <t xml:space="preserve">1. Add primary beneficiaries with 60% and 60% (total 120%)
2. Click Next</t>
  </si>
  <si>
    <t xml:space="preserve">Allocations 60 + 60 (and a single 101)</t>
  </si>
  <si>
    <t xml:space="preserve">Progression is blocked with an allocation message</t>
  </si>
  <si>
    <t xml:space="preserve">@regression @beneficiary @p2 @seeded @api</t>
  </si>
  <si>
    <t xml:space="preserve">TC-BEN-V04</t>
  </si>
  <si>
    <t xml:space="preserve">Secondary allocation validated separately</t>
  </si>
  <si>
    <t xml:space="preserve">BEN-V04</t>
  </si>
  <si>
    <t xml:space="preserve">1. Add a primary beneficiary with 100%
2. Add a secondary with 50%
3. Click Next
4. Add a second secondary with 50%
5. Click Next</t>
  </si>
  <si>
    <t xml:space="preserve">Secondary total of 50% blocks progression; with secondary total 100% progression succeeds</t>
  </si>
  <si>
    <t xml:space="preserve">@regression @beneficiary @p2</t>
  </si>
  <si>
    <t xml:space="preserve">TC-BEN-V05</t>
  </si>
  <si>
    <t xml:space="preserve">Minor beneficiary requires guardian details</t>
  </si>
  <si>
    <t xml:space="preserve">BEN-V05</t>
  </si>
  <si>
    <t xml:space="preserve">R25</t>
  </si>
  <si>
    <t xml:space="preserve">RI-14: Minor beneficiary guardian not required</t>
  </si>
  <si>
    <t xml:space="preserve">1. Add a beneficiary aged 10 WITHOUT guardian details and save/continue
2. Add guardian name and relationship and continue</t>
  </si>
  <si>
    <t xml:space="preserve">dobForAge(10)</t>
  </si>
  <si>
    <t xml:space="preserve">Missing guardian is refused with a guardian message; with guardian details it is accepted</t>
  </si>
  <si>
    <t xml:space="preserve">TC-BEN-V06</t>
  </si>
  <si>
    <t xml:space="preserve">Trust type shows Trust Name, Trustee Name, Trust Date</t>
  </si>
  <si>
    <t xml:space="preserve">BEN-V06</t>
  </si>
  <si>
    <t xml:space="preserve">R27</t>
  </si>
  <si>
    <t xml:space="preserve">1. Open the add form
2. Select beneficiary type Trust</t>
  </si>
  <si>
    <t xml:space="preserve">Trust name, trustee name and trust date fields are visible</t>
  </si>
  <si>
    <t xml:space="preserve">@regression @beneficiary @p3</t>
  </si>
  <si>
    <t xml:space="preserve">TC-BEN-V07</t>
  </si>
  <si>
    <t xml:space="preserve">Organization type shows registration and contact fields</t>
  </si>
  <si>
    <t xml:space="preserve">BEN-V07</t>
  </si>
  <si>
    <t xml:space="preserve">1. Open the add form
2. Select beneficiary type Organization</t>
  </si>
  <si>
    <t xml:space="preserve">Organization name, registration and contact fields are visible</t>
  </si>
  <si>
    <t xml:space="preserve">TC-BEN-V08</t>
  </si>
  <si>
    <t xml:space="preserve">Duplicate beneficiary (Name + DOB + Relationship) blocked</t>
  </si>
  <si>
    <t xml:space="preserve">BEN-V08</t>
  </si>
  <si>
    <t xml:space="preserve">R26</t>
  </si>
  <si>
    <t xml:space="preserve">RI-15: Duplicate beneficiaries not blocked</t>
  </si>
  <si>
    <t xml:space="preserve">1. Add a beneficiary (50%)
2. Add a second with the SAME name, DOB and relationship</t>
  </si>
  <si>
    <t xml:space="preserve">The duplicate is refused with a duplicate message and only one row remains</t>
  </si>
  <si>
    <t xml:space="preserve">TC-BEN-V09</t>
  </si>
  <si>
    <t xml:space="preserve">Removing a beneficiary updates running allocation total</t>
  </si>
  <si>
    <t xml:space="preserve">BEN-V09</t>
  </si>
  <si>
    <t xml:space="preserve">R28</t>
  </si>
  <si>
    <t xml:space="preserve">1. Add two primary beneficiaries (60% and 40%)
2. Remove the first</t>
  </si>
  <si>
    <t xml:space="preserve">Row count drops from 2 to 1; where the page shows a running total it becomes 40</t>
  </si>
  <si>
    <t xml:space="preserve">TC-BEN-V10</t>
  </si>
  <si>
    <t xml:space="preserve">At least one primary beneficiary is mandatory</t>
  </si>
  <si>
    <t xml:space="preserve">BEN-V10</t>
  </si>
  <si>
    <t xml:space="preserve">1. Click Next with no beneficiaries
2. Add only a SECONDARY beneficiary and click Next</t>
  </si>
  <si>
    <t xml:space="preserve">Progression is blocked in both cases</t>
  </si>
  <si>
    <t xml:space="preserve">TC-BEN-V11</t>
  </si>
  <si>
    <t xml:space="preserve">Irrevocable beneficiary triggers legal confirmation modal</t>
  </si>
  <si>
    <t xml:space="preserve">BEN-V11</t>
  </si>
  <si>
    <t xml:space="preserve">1. Fill a beneficiary and tick irrevocable
2. Save</t>
  </si>
  <si>
    <t xml:space="preserve">A legal confirmation dialog appears and can be confirmed</t>
  </si>
  <si>
    <t xml:space="preserve">TC-DOC-V01</t>
  </si>
  <si>
    <t xml:space="preserve">Valid KYC document (PDF/JPG/PNG) uploads successfully</t>
  </si>
  <si>
    <t xml:space="preserve">DOC-V01</t>
  </si>
  <si>
    <t xml:space="preserve">Valid agent (AGENT_VALID) signed in via saved session; environment reachable; NEW application open at the documents step with every earlier step completed using valid data</t>
  </si>
  <si>
    <t xml:space="preserve">1. Upload a valid PDF
2. Upload a valid JPG
3. Upload a valid PNG</t>
  </si>
  <si>
    <t xml:space="preserve">In-memory files (utils/files.js)</t>
  </si>
  <si>
    <t xml:space="preserve">Each upload is accepted: no error is shown and an uploaded-document entry is present</t>
  </si>
  <si>
    <t xml:space="preserve">tests/ui/documents.spec.js</t>
  </si>
  <si>
    <t xml:space="preserve">@regression @document @p2 @smoke</t>
  </si>
  <si>
    <t xml:space="preserve">TC-DOC-V02</t>
  </si>
  <si>
    <t xml:space="preserve">Unsupported file type rejected</t>
  </si>
  <si>
    <t xml:space="preserve">DOC-V02</t>
  </si>
  <si>
    <t xml:space="preserve">1. Upload an .exe file
2. Upload a .txt file</t>
  </si>
  <si>
    <t xml:space="preserve">Each is rejected with a file-type message and no uploaded entry is created</t>
  </si>
  <si>
    <t xml:space="preserve">@regression @document @p2 @api</t>
  </si>
  <si>
    <t xml:space="preserve">TC-DOC-V03</t>
  </si>
  <si>
    <t xml:space="preserve">File above maximum size rejected</t>
  </si>
  <si>
    <t xml:space="preserve">DOC-V03</t>
  </si>
  <si>
    <t xml:space="preserve">1. Upload a PDF of (maximum + 1) MB</t>
  </si>
  <si>
    <t xml:space="preserve">MAX_UPLOAD_MB</t>
  </si>
  <si>
    <t xml:space="preserve">Rejected with a file-size message</t>
  </si>
  <si>
    <t xml:space="preserve">Set MAX_UPLOAD_MB (Q17)</t>
  </si>
  <si>
    <t xml:space="preserve">Q17</t>
  </si>
  <si>
    <t xml:space="preserve">@regression @document @p2</t>
  </si>
  <si>
    <t xml:space="preserve">TC-DOC-V04</t>
  </si>
  <si>
    <t xml:space="preserve">Missing mandatory document blocks submission</t>
  </si>
  <si>
    <t xml:space="preserve">DOC-V04</t>
  </si>
  <si>
    <t xml:space="preserve">R29</t>
  </si>
  <si>
    <t xml:space="preserve">RI-06: Mandatory KYC documents not enforced</t>
  </si>
  <si>
    <t xml:space="preserve">1. Do NOT upload any document
2. Click Next
3. If the review step is reached, try to submit</t>
  </si>
  <si>
    <t xml:space="preserve">Either Next is blocked with a document message, or the review step cannot be submitted and no reference number is issued</t>
  </si>
  <si>
    <t xml:space="preserve">@regression @document @p1 @release-gate @seeded @api</t>
  </si>
  <si>
    <t xml:space="preserve">TC-VAL-V01</t>
  </si>
  <si>
    <t xml:space="preserve">Validation summary lists all unresolved errors, grouped</t>
  </si>
  <si>
    <t xml:space="preserve">VAL-V01</t>
  </si>
  <si>
    <t xml:space="preserve">R32</t>
  </si>
  <si>
    <t xml:space="preserve">Valid agent (AGENT_VALID) signed in via saved session; environment reachable; review step reached with the mandatory documents missing</t>
  </si>
  <si>
    <t xml:space="preserve">1. Reach the review step without documents
2. Read the validation summary</t>
  </si>
  <si>
    <t xml:space="preserve">The summary shows at least one item and one refers to documents</t>
  </si>
  <si>
    <t xml:space="preserve">Skips if the app does not allow reaching review with errors</t>
  </si>
  <si>
    <t xml:space="preserve">@regression @validation @p2</t>
  </si>
  <si>
    <t xml:space="preserve">TC-VAL-V02</t>
  </si>
  <si>
    <t xml:space="preserve">Clicking a summary item navigates to the field/section</t>
  </si>
  <si>
    <t xml:space="preserve">VAL-V02</t>
  </si>
  <si>
    <t xml:space="preserve">Valid agent (AGENT_VALID) signed in via saved session; environment reachable; review step reached with errors</t>
  </si>
  <si>
    <t xml:space="preserve">1. Click the first validation summary item</t>
  </si>
  <si>
    <t xml:space="preserve">The browser moves to the section that owns the error (step title or URL changes)</t>
  </si>
  <si>
    <t xml:space="preserve">@regression @validation @p3</t>
  </si>
  <si>
    <t xml:space="preserve">TC-VAL-V03</t>
  </si>
  <si>
    <t xml:space="preserve">Submit stays disabled until critical errors are resolved</t>
  </si>
  <si>
    <t xml:space="preserve">VAL-V03</t>
  </si>
  <si>
    <t xml:space="preserve">R31</t>
  </si>
  <si>
    <t xml:space="preserve">RI-17: Submit enabled despite validation errors</t>
  </si>
  <si>
    <t xml:space="preserve">1. Confirm Submit is disabled
2. Resolve the error (upload documents)
3. Return to review</t>
  </si>
  <si>
    <t xml:space="preserve">Submit is disabled while errors exist and enabled once they are resolved</t>
  </si>
  <si>
    <t xml:space="preserve">@regression @validation @p1 @release-gate @seeded</t>
  </si>
  <si>
    <t xml:space="preserve">TC-WF-V01</t>
  </si>
  <si>
    <t xml:space="preserve">Partial application saved as draft; draft row on dashboard</t>
  </si>
  <si>
    <t xml:space="preserve">WF-V01</t>
  </si>
  <si>
    <t xml:space="preserve">R33</t>
  </si>
  <si>
    <t xml:space="preserve">1. Start a new application
2. Complete the client step and move on
3. Save draft on the address step
4. Open the dashboard</t>
  </si>
  <si>
    <t xml:space="preserve">A row with status Draft exists on the dashboard</t>
  </si>
  <si>
    <t xml:space="preserve">tests/e2e/workflow.spec.js</t>
  </si>
  <si>
    <t xml:space="preserve">@regression @workflow @p1 @smoke @release-gate @seeded</t>
  </si>
  <si>
    <t xml:space="preserve">TC-WF-V02</t>
  </si>
  <si>
    <t xml:space="preserve">Draft resumed with previously saved data intact</t>
  </si>
  <si>
    <t xml:space="preserve">WF-V02</t>
  </si>
  <si>
    <t xml:space="preserve">R09, R33</t>
  </si>
  <si>
    <t xml:space="preserve">1. Start a new application and fill the client step
2. Save draft
3. Go to the dashboard and resume the draft
4. Return to the client step</t>
  </si>
  <si>
    <t xml:space="preserve">First name, last name and date of birth equal the saved values</t>
  </si>
  <si>
    <t xml:space="preserve">@regression @workflow @p2 @seeded</t>
  </si>
  <si>
    <t xml:space="preserve">TC-WF-V03</t>
  </si>
  <si>
    <t xml:space="preserve">Full E2E: valid application submitted; reference number shown</t>
  </si>
  <si>
    <t xml:space="preserve">WF-V03</t>
  </si>
  <si>
    <t xml:space="preserve">R34</t>
  </si>
  <si>
    <t xml:space="preserve">E2E</t>
  </si>
  <si>
    <t xml:space="preserve">1. Log in
2. Start a new application
3. Complete every step with valid data
4. Submit on the review step</t>
  </si>
  <si>
    <t xml:space="preserve">A non-empty reference number is displayed</t>
  </si>
  <si>
    <t xml:space="preserve">Screenshot (review + confirmation) attached on pass and fail</t>
  </si>
  <si>
    <t xml:space="preserve">@regression @workflow @p1 @smoke @release-gate @e2e @api</t>
  </si>
  <si>
    <t xml:space="preserve">TC-WF-V04</t>
  </si>
  <si>
    <t xml:space="preserve">Submitted application is read-only</t>
  </si>
  <si>
    <t xml:space="preserve">WF-V04</t>
  </si>
  <si>
    <t xml:space="preserve">R36</t>
  </si>
  <si>
    <t xml:space="preserve">1. Complete and submit an application
2. Inspect the page for editable controls</t>
  </si>
  <si>
    <t xml:space="preserve">No editable input remains and the submit control is gone or disabled</t>
  </si>
  <si>
    <t xml:space="preserve">@regression @workflow @p2</t>
  </si>
  <si>
    <t xml:space="preserve">TC-WF-V05</t>
  </si>
  <si>
    <t xml:space="preserve">Confirmation / status message shown after submission</t>
  </si>
  <si>
    <t xml:space="preserve">WF-V05</t>
  </si>
  <si>
    <t xml:space="preserve">1. Complete and submit an application</t>
  </si>
  <si>
    <t xml:space="preserve">A confirmation message matching the submitted pattern is displayed</t>
  </si>
  <si>
    <t xml:space="preserve">@regression @workflow @p3</t>
  </si>
  <si>
    <t xml:space="preserve">TC-WF-V06</t>
  </si>
  <si>
    <t xml:space="preserve">Dashboard status becomes Submitted after submission</t>
  </si>
  <si>
    <t xml:space="preserve">WF-V06</t>
  </si>
  <si>
    <t xml:space="preserve">R07, R34</t>
  </si>
  <si>
    <t xml:space="preserve">1. Complete and submit an application
2. Open the dashboard
3. Find the application row</t>
  </si>
  <si>
    <t xml:space="preserve">The application row shows status Submitted</t>
  </si>
  <si>
    <t xml:space="preserve">@regression @workflow @p1 @release-gate @seeded @e2e @api</t>
  </si>
  <si>
    <t xml:space="preserve">TC-WF-V07</t>
  </si>
  <si>
    <t xml:space="preserve">Application detail status matches Status API</t>
  </si>
  <si>
    <t xml:space="preserve">WF-V07</t>
  </si>
  <si>
    <t xml:space="preserve">1. Submit an application and read the status on the page
2. Call GET /applications/{id}/status</t>
  </si>
  <si>
    <t xml:space="preserve">UI status text equals the API status</t>
  </si>
  <si>
    <t xml:space="preserve">Skips if the application id cannot be read from the URL</t>
  </si>
  <si>
    <t xml:space="preserve">@regression @workflow @p2 @seeded @api</t>
  </si>
  <si>
    <t xml:space="preserve">TC-WF-V08</t>
  </si>
  <si>
    <t xml:space="preserve">Review page reflects the entered client, product and beneficiary data</t>
  </si>
  <si>
    <t xml:space="preserve">WF-V08</t>
  </si>
  <si>
    <t xml:space="preserve">R19</t>
  </si>
  <si>
    <t xml:space="preserve">1. Complete every step with valid data
2. Open the review step
3. Read the review text</t>
  </si>
  <si>
    <t xml:space="preserve">Review shows the client name, the beneficiary name and a premium equal to the configured premium</t>
  </si>
  <si>
    <t xml:space="preserve">Screenshot of review attached on pass and fail</t>
  </si>
  <si>
    <t xml:space="preserve">@regression @workflow @p2 @smoke</t>
  </si>
  <si>
    <t xml:space="preserve">TC-API-V01</t>
  </si>
  <si>
    <t xml:space="preserve">Products API returns 200 and expected schema</t>
  </si>
  <si>
    <t xml:space="preserve">API-V01</t>
  </si>
  <si>
    <t xml:space="preserve">R37</t>
  </si>
  <si>
    <t xml:space="preserve">API</t>
  </si>
  <si>
    <t xml:space="preserve">Valid agent authenticated through POST /auth/login</t>
  </si>
  <si>
    <t xml:space="preserve">1. GET /products</t>
  </si>
  <si>
    <t xml:space="preserve">200, JSON, non-empty list; each product has an id and a name</t>
  </si>
  <si>
    <t xml:space="preserve">Response status/body attached</t>
  </si>
  <si>
    <t xml:space="preserve">tests/api/applications.api.spec.js</t>
  </si>
  <si>
    <t xml:space="preserve">@regression @api @p2 @smoke</t>
  </si>
  <si>
    <t xml:space="preserve">TC-API-V02</t>
  </si>
  <si>
    <t xml:space="preserve">Applications API requires authorization (401/403)</t>
  </si>
  <si>
    <t xml:space="preserve">API-V02</t>
  </si>
  <si>
    <t xml:space="preserve">API Security</t>
  </si>
  <si>
    <t xml:space="preserve">No token / no session</t>
  </si>
  <si>
    <t xml:space="preserve">1. GET /applications without credentials</t>
  </si>
  <si>
    <t xml:space="preserve">401 or 403; no application data in the body</t>
  </si>
  <si>
    <t xml:space="preserve">@regression @api @p1 @smoke @release-gate</t>
  </si>
  <si>
    <t xml:space="preserve">TC-API-V03</t>
  </si>
  <si>
    <t xml:space="preserve">Client API rejects future / underage DOB</t>
  </si>
  <si>
    <t xml:space="preserve">API-V03</t>
  </si>
  <si>
    <t xml:space="preserve">RI-05: Future date of birth accepted
RI-19: API validation differs from UI validation</t>
  </si>
  <si>
    <t xml:space="preserve">API Negative</t>
  </si>
  <si>
    <t xml:space="preserve">Authenticated agent; a DISPOSABLE draft application id (created via API or taken from the first draft)</t>
  </si>
  <si>
    <t xml:space="preserve">1. POST /applications/{id}/client with DOB tomorrow
2. POST with DOB of an age-17 person</t>
  </si>
  <si>
    <t xml:space="preserve">Both are rejected with a 4xx validation response</t>
  </si>
  <si>
    <t xml:space="preserve">Needs a draft application id (Q21)</t>
  </si>
  <si>
    <t xml:space="preserve">Q21</t>
  </si>
  <si>
    <t xml:space="preserve">@regression @api @p2 @seeded</t>
  </si>
  <si>
    <t xml:space="preserve">TC-API-V04</t>
  </si>
  <si>
    <t xml:space="preserve">Validate API returns beneficiary allocation error</t>
  </si>
  <si>
    <t xml:space="preserve">API-V04</t>
  </si>
  <si>
    <t xml:space="preserve">RI-13: Allocation below / above 100% allowed
RI-19: API validation differs from UI validation</t>
  </si>
  <si>
    <t xml:space="preserve">Authenticated agent; DISPOSABLE draft application id</t>
  </si>
  <si>
    <t xml:space="preserve">1. POST /applications/{id}/beneficiaries with a single 60% primary
2. POST /applications/{id}/validate</t>
  </si>
  <si>
    <t xml:space="preserve">The validation result contains an allocation error</t>
  </si>
  <si>
    <t xml:space="preserve">TC-API-V05</t>
  </si>
  <si>
    <t xml:space="preserve">Submit API rejects incomplete application</t>
  </si>
  <si>
    <t xml:space="preserve">API-V05</t>
  </si>
  <si>
    <t xml:space="preserve">R29, R35</t>
  </si>
  <si>
    <t xml:space="preserve">API + DB</t>
  </si>
  <si>
    <t xml:space="preserve">Authenticated agent; a draft application that is INCOMPLETE</t>
  </si>
  <si>
    <t xml:space="preserve">1. POST /applications/{id}/submit</t>
  </si>
  <si>
    <t xml:space="preserve">4xx response; no reference number in the body</t>
  </si>
  <si>
    <t xml:space="preserve">@regression @api @p1 @release-gate @seeded</t>
  </si>
  <si>
    <t xml:space="preserve">TC-API-V06</t>
  </si>
  <si>
    <t xml:space="preserve">Status API matches the applications list</t>
  </si>
  <si>
    <t xml:space="preserve">API-V06</t>
  </si>
  <si>
    <t xml:space="preserve">1. GET /applications
2. For up to 5 items GET /applications/{id}/status
3. Compare status</t>
  </si>
  <si>
    <t xml:space="preserve">List status equals status-endpoint status for each application</t>
  </si>
  <si>
    <t xml:space="preserve">TC-API-V07</t>
  </si>
  <si>
    <t xml:space="preserve">Product detail API matches UI detail page</t>
  </si>
  <si>
    <t xml:space="preserve">API-V07</t>
  </si>
  <si>
    <t xml:space="preserve">RI-19: API validation differs from UI validation</t>
  </si>
  <si>
    <t xml:space="preserve">1. Read the first product name on the UI
2. GET /products and find the same product
3. GET /products/{id}</t>
  </si>
  <si>
    <t xml:space="preserve">The API product name appears in the UI product card text</t>
  </si>
  <si>
    <t xml:space="preserve">Needs product ids in the API response</t>
  </si>
  <si>
    <t xml:space="preserve">TC-API-V08</t>
  </si>
  <si>
    <t xml:space="preserve">Applications API returns only logged-in agent records</t>
  </si>
  <si>
    <t xml:space="preserve">API-V08</t>
  </si>
  <si>
    <t xml:space="preserve">Two seeded agents (AGENT_VALID, AGENT_SECOND)</t>
  </si>
  <si>
    <t xml:space="preserve">1. GET /applications as agent A
2. GET /applications as agent B
3. Compare ids</t>
  </si>
  <si>
    <t xml:space="preserve">The id sets are disjoint</t>
  </si>
  <si>
    <t xml:space="preserve">@regression @api @p2</t>
  </si>
  <si>
    <t xml:space="preserve">TC-API-V09</t>
  </si>
  <si>
    <t xml:space="preserve">Riders API schema, eligibility and dependency rules</t>
  </si>
  <si>
    <t xml:space="preserve">API-V09</t>
  </si>
  <si>
    <t xml:space="preserve">1. GET /riders</t>
  </si>
  <si>
    <t xml:space="preserve">200, JSON, non-empty list; each rider has an id and a name</t>
  </si>
  <si>
    <t xml:space="preserve">TC-API-V10</t>
  </si>
  <si>
    <t xml:space="preserve">Documents API rejects invalid type and oversized file</t>
  </si>
  <si>
    <t xml:space="preserve">API-V10</t>
  </si>
  <si>
    <t xml:space="preserve">1. POST /applications/{id}/documents with an .exe
2. POST with an oversize PDF</t>
  </si>
  <si>
    <t xml:space="preserve">Both are rejected with 4xx</t>
  </si>
  <si>
    <t xml:space="preserve">Needs a draft application id; oversize part needs MAX_UPLOAD_MB</t>
  </si>
  <si>
    <t xml:space="preserve">TC-API-V11</t>
  </si>
  <si>
    <t xml:space="preserve">Status API returns history and timestamps</t>
  </si>
  <si>
    <t xml:space="preserve">API-V11</t>
  </si>
  <si>
    <t xml:space="preserve">1. GET /applications
2. GET /applications/{id}/status for the first application</t>
  </si>
  <si>
    <t xml:space="preserve">200 and a status value; where a history is returned each entry has a timestamp</t>
  </si>
  <si>
    <t xml:space="preserve">TC-API-V12</t>
  </si>
  <si>
    <t xml:space="preserve">UI/API validation parity for the same invalid input</t>
  </si>
  <si>
    <t xml:space="preserve">API-V12</t>
  </si>
  <si>
    <t xml:space="preserve">RI-19: API validation differs from UI validation
RI-05: Future date of birth accepted</t>
  </si>
  <si>
    <t xml:space="preserve">1. Enter a future DOB in the UI and click Next
2. Send the same DOB to POST /applications/{id}/client</t>
  </si>
  <si>
    <t xml:space="preserve">Both the UI and the API reject the future DOB</t>
  </si>
  <si>
    <t xml:space="preserve">Needs the application id from the URL</t>
  </si>
  <si>
    <t xml:space="preserve">TC-DB-01</t>
  </si>
  <si>
    <t xml:space="preserve">Draft row exists with fields entered so far; resume matches stored data</t>
  </si>
  <si>
    <t xml:space="preserve">DB-01</t>
  </si>
  <si>
    <t xml:space="preserve">DB</t>
  </si>
  <si>
    <t xml:space="preserve">R33, R41</t>
  </si>
  <si>
    <t xml:space="preserve">Database</t>
  </si>
  <si>
    <t xml:space="preserve">Read-only database access granted (Q04); schema / data dictionary shared</t>
  </si>
  <si>
    <t xml:space="preserve">1. Run the UI or API scenario that creates the data
2. Run the read-only validation query for this check
3. Compare the result with the UI/API value</t>
  </si>
  <si>
    <t xml:space="preserve">Linked scenario(s): WF-V01, WF-V02</t>
  </si>
  <si>
    <t xml:space="preserve">Query result matches the UI/API outcome (see the illustrative query pattern in Submission 1, section 3.4)</t>
  </si>
  <si>
    <t xml:space="preserve">Query text + result attached to the report</t>
  </si>
  <si>
    <t xml:space="preserve">Q04</t>
  </si>
  <si>
    <t xml:space="preserve">No database engine, schema or credentials supplied (Submission 1 question Q04 / dependency D06). API-read proxy is used where the linked API scenario exists.</t>
  </si>
  <si>
    <t xml:space="preserve">@regression @database @p2</t>
  </si>
  <si>
    <t xml:space="preserve">TC-DB-02</t>
  </si>
  <si>
    <t xml:space="preserve">Submitted application has unique reference number and status = Submitted</t>
  </si>
  <si>
    <t xml:space="preserve">DB-02</t>
  </si>
  <si>
    <t xml:space="preserve">R34, R41</t>
  </si>
  <si>
    <t xml:space="preserve">Linked scenario(s): WF-V03, WF-V06</t>
  </si>
  <si>
    <t xml:space="preserve">TC-DB-03</t>
  </si>
  <si>
    <t xml:space="preserve">Status history has a new timestamped entry for each transition</t>
  </si>
  <si>
    <t xml:space="preserve">DB-03</t>
  </si>
  <si>
    <t xml:space="preserve">R07, R41</t>
  </si>
  <si>
    <t xml:space="preserve">Linked scenario(s): API-V11</t>
  </si>
  <si>
    <t xml:space="preserve">TC-DB-04</t>
  </si>
  <si>
    <t xml:space="preserve">Primary / secondary allocations each sum to 100; no duplicate Name+DOB+Relationship</t>
  </si>
  <si>
    <t xml:space="preserve">DB-04</t>
  </si>
  <si>
    <t xml:space="preserve">R24, R41</t>
  </si>
  <si>
    <t xml:space="preserve">Linked scenario(s): BEN-V02..V09</t>
  </si>
  <si>
    <t xml:space="preserve">TC-DB-05</t>
  </si>
  <si>
    <t xml:space="preserve">Minor beneficiary has a linked guardian record</t>
  </si>
  <si>
    <t xml:space="preserve">DB-05</t>
  </si>
  <si>
    <t xml:space="preserve">R25, R41</t>
  </si>
  <si>
    <t xml:space="preserve">Linked scenario(s): BEN-V05</t>
  </si>
  <si>
    <t xml:space="preserve">TC-DB-06</t>
  </si>
  <si>
    <t xml:space="preserve">Stored premium equals the premium on the review page, including itemized riders</t>
  </si>
  <si>
    <t xml:space="preserve">DB-06</t>
  </si>
  <si>
    <t xml:space="preserve">R19, R41</t>
  </si>
  <si>
    <t xml:space="preserve">Linked scenario(s): PROD-V06, RIDER-V07</t>
  </si>
  <si>
    <t xml:space="preserve">TC-DB-07</t>
  </si>
  <si>
    <t xml:space="preserve">SSN is not stored or logged in clear text</t>
  </si>
  <si>
    <t xml:space="preserve">DB-07</t>
  </si>
  <si>
    <t xml:space="preserve">R12, R41</t>
  </si>
  <si>
    <t xml:space="preserve">Linked scenario(s): CLI-V08</t>
  </si>
  <si>
    <t xml:space="preserve">TC-DB-08</t>
  </si>
  <si>
    <t xml:space="preserve">Document records exist with status for each mandatory document</t>
  </si>
  <si>
    <t xml:space="preserve">DB-08</t>
  </si>
  <si>
    <t xml:space="preserve">R29, R41</t>
  </si>
  <si>
    <t xml:space="preserve">Linked scenario(s): DOC-V01, DOC-V04</t>
  </si>
  <si>
    <t xml:space="preserve">TC-DB-09</t>
  </si>
  <si>
    <t xml:space="preserve">Application rows are keyed to the owning agent</t>
  </si>
  <si>
    <t xml:space="preserve">DB-09</t>
  </si>
  <si>
    <t xml:space="preserve">R08, R41</t>
  </si>
  <si>
    <t xml:space="preserve">Linked scenario(s): DASH-V02, API-V08</t>
  </si>
  <si>
    <t xml:space="preserve">TC-DB-10</t>
  </si>
  <si>
    <t xml:space="preserve">Failed-attempt counter and lock state update at the fifth failed login</t>
  </si>
  <si>
    <t xml:space="preserve">DB-10</t>
  </si>
  <si>
    <t xml:space="preserve">R03, R41</t>
  </si>
  <si>
    <t xml:space="preserve">Linked scenario(s): AUTH-V07</t>
  </si>
  <si>
    <t xml:space="preserve">TC-FW-01</t>
  </si>
  <si>
    <t xml:space="preserve">Evidence: diagnostics, screenshots, traces and videos are configured for debugging</t>
  </si>
  <si>
    <t xml:space="preserve">FW-01</t>
  </si>
  <si>
    <t xml:space="preserve">FW</t>
  </si>
  <si>
    <t xml:space="preserve">R38</t>
  </si>
  <si>
    <t xml:space="preserve">RI-20: Failures hard to debug (no consistent evidence)</t>
  </si>
  <si>
    <t xml:space="preserve">Framework</t>
  </si>
  <si>
    <t xml:space="preserve">None - runs without the application</t>
  </si>
  <si>
    <t xml:space="preserve">1. Load playwright.config.js
2. Assert screenshot, video, trace, HTML/JSON/JUnit reporters are enabled
3. Assert the diagnostics fixture is registered as an automatic fixture</t>
  </si>
  <si>
    <t xml:space="preserve">All evidence settings are present</t>
  </si>
  <si>
    <t xml:space="preserve">Unit test output</t>
  </si>
  <si>
    <t xml:space="preserve">tests/unit/framework.spec.js</t>
  </si>
  <si>
    <t xml:space="preserve">@regression @framework @p2 @seeded</t>
  </si>
  <si>
    <t xml:space="preserve">TC-FW-02</t>
  </si>
  <si>
    <t xml:space="preserve">Environment: configuration is externalised and the health check classifies failures</t>
  </si>
  <si>
    <t xml:space="preserve">FW-02</t>
  </si>
  <si>
    <t xml:space="preserve">R39</t>
  </si>
  <si>
    <t xml:space="preserve">1. Scan the repository for hard-coded URLs, IPs and credentials outside config / .env.example
2. Check the health-check classifier maps timeouts and 5xx to ENVIRONMENT</t>
  </si>
  <si>
    <t xml:space="preserve">No hard-coded base URL, IP address or password outside the config layer; failures are classified as ENVIRONMENT vs APPLICATION</t>
  </si>
  <si>
    <t xml:space="preserve">@regression @framework @p2</t>
  </si>
  <si>
    <t xml:space="preserve">TC-FW-03</t>
  </si>
  <si>
    <t xml:space="preserve">Test data: builders are unique per call and date boundaries are calculated correctly</t>
  </si>
  <si>
    <t xml:space="preserve">FW-03</t>
  </si>
  <si>
    <t xml:space="preserve">R40</t>
  </si>
  <si>
    <t xml:space="preserve">1. Generate 500 clients and beneficiaries and check name uniqueness
2. Check dobForAge / calcAge for ages 17/18/65/66, leap years and the day-before/after birthday</t>
  </si>
  <si>
    <t xml:space="preserve">No duplicates; boundary dates produce exactly the intended ages</t>
  </si>
  <si>
    <t xml:space="preserve">TC-FW-04</t>
  </si>
  <si>
    <t xml:space="preserve">Traceability: every automated test maps to a case; every case maps to a risk</t>
  </si>
  <si>
    <t xml:space="preserve">FW-04</t>
  </si>
  <si>
    <t xml:space="preserve">1. Load the case registry and the risk register
2. Check each non-framework case links to at least one risk
3. Check reported issues RI-01..RI-20 each link to at least one case</t>
  </si>
  <si>
    <t xml:space="preserve">No orphan cases, risks or reported issues</t>
  </si>
  <si>
    <t xml:space="preserve">Release Gate (P1) - the scenarios that MUST pass for a release</t>
  </si>
  <si>
    <t xml:space="preserve">Submission 1 rated 52 of 105 scenarios P1. P1 is now limited to these. Everything else is regression (P2) or P3. Run: npm run test:gate</t>
  </si>
  <si>
    <t xml:space="preserve">Why a failure blocks the release</t>
  </si>
  <si>
    <t xml:space="preserve">Linked Risks</t>
  </si>
  <si>
    <t xml:space="preserve">If valid agents cannot sign in, nothing else is usable.</t>
  </si>
  <si>
    <t xml:space="preserve">Protected pages must not be reachable without a session.</t>
  </si>
  <si>
    <t xml:space="preserve">Locked agents must stay locked out, with the correct message.</t>
  </si>
  <si>
    <t xml:space="preserve">An agent must never see another agent's applications (confidentiality).</t>
  </si>
  <si>
    <t xml:space="preserve">A future date of birth would create an invalid policy.</t>
  </si>
  <si>
    <t xml:space="preserve">Unmasked SSN is a compliance / privacy breach.</t>
  </si>
  <si>
    <t xml:space="preserve">Agents cannot sell if the product catalogue does not load.</t>
  </si>
  <si>
    <t xml:space="preserve">Wrong premium after a configuration change misprices the policy.</t>
  </si>
  <si>
    <t xml:space="preserve">Premium on review must equal what the agent configured.</t>
  </si>
  <si>
    <t xml:space="preserve">Rider cover above the base face value is an invalid coverage.</t>
  </si>
  <si>
    <t xml:space="preserve">Allocations must total 100% or payouts are disputed.</t>
  </si>
  <si>
    <t xml:space="preserve">A minor beneficiary without a guardian is a legal gap.</t>
  </si>
  <si>
    <t xml:space="preserve">Missing mandatory KYC documents must block submission (compliance).</t>
  </si>
  <si>
    <t xml:space="preserve">Submit must be blocked while validation errors exist.</t>
  </si>
  <si>
    <t xml:space="preserve">Agents must not lose work: drafts must save.</t>
  </si>
  <si>
    <t xml:space="preserve">The core journey must complete and return a reference number.</t>
  </si>
  <si>
    <t xml:space="preserve">Dashboard status must reflect the submission.</t>
  </si>
  <si>
    <t xml:space="preserve">The API must refuse unauthenticated calls.</t>
  </si>
  <si>
    <t xml:space="preserve">The submit API must refuse incomplete applications.</t>
  </si>
  <si>
    <t xml:space="preserve">Gate size</t>
  </si>
  <si>
    <t xml:space="preserve">Target</t>
  </si>
  <si>
    <t xml:space="preserve">15 to 20 scenarios</t>
  </si>
  <si>
    <t xml:space="preserve">Within target?</t>
  </si>
  <si>
    <t xml:space="preserve">Traceability: Submission 1 risk register (R01-R41) to test cases</t>
  </si>
  <si>
    <t xml:space="preserve">Linked test cases are counted by formula from the Test Cases sheet.</t>
  </si>
  <si>
    <t xml:space="preserve">Risk ID</t>
  </si>
  <si>
    <t xml:space="preserve">Risk</t>
  </si>
  <si>
    <t xml:space="preserve">Likelihood</t>
  </si>
  <si>
    <t xml:space="preserve">Impact</t>
  </si>
  <si>
    <t xml:space="preserve">Rating</t>
  </si>
  <si>
    <t xml:space="preserve">Covered by (Submission 1)</t>
  </si>
  <si>
    <t xml:space="preserve">Linked Test Cases</t>
  </si>
  <si>
    <t xml:space="preserve"># Test Cases</t>
  </si>
  <si>
    <t xml:space="preserve">Authentication</t>
  </si>
  <si>
    <t xml:space="preserve">Valid agents cannot log in after authentication changes</t>
  </si>
  <si>
    <t xml:space="preserve">TC-AUTH-V01, TC-AUTH-V09</t>
  </si>
  <si>
    <t xml:space="preserve">Locked or invalid users see incorrect or misleading messages</t>
  </si>
  <si>
    <t xml:space="preserve">AUTH-V02, V06</t>
  </si>
  <si>
    <t xml:space="preserve">TC-AUTH-V02, TC-AUTH-V03, TC-AUTH-V06</t>
  </si>
  <si>
    <t xml:space="preserve">API/DB</t>
  </si>
  <si>
    <t xml:space="preserve">Lockout after five failures not enforced server-side or counter not stored</t>
  </si>
  <si>
    <t xml:space="preserve">AUTH-V07, DB-10</t>
  </si>
  <si>
    <t xml:space="preserve">TC-AUTH-V07, TC-DB-10</t>
  </si>
  <si>
    <t xml:space="preserve">Protected pages or endpoints reachable without authentication</t>
  </si>
  <si>
    <t xml:space="preserve">AUTH-V05, API-V02</t>
  </si>
  <si>
    <t xml:space="preserve">TC-AUTH-V05, TC-API-V02</t>
  </si>
  <si>
    <t xml:space="preserve">UI/API</t>
  </si>
  <si>
    <t xml:space="preserve">Session not cleared on logout; no session timeout</t>
  </si>
  <si>
    <t xml:space="preserve">AUTH-V04, AUTH-V10</t>
  </si>
  <si>
    <t xml:space="preserve">TC-AUTH-V04, TC-AUTH-V10</t>
  </si>
  <si>
    <t xml:space="preserve">Password policy inconsistently enforced</t>
  </si>
  <si>
    <t xml:space="preserve">TC-AUTH-V08, TC-AUTH-V11, TC-AUTH-V12, TC-AUTH-V13</t>
  </si>
  <si>
    <t xml:space="preserve">Dashboard</t>
  </si>
  <si>
    <t xml:space="preserve">UI/API/DB</t>
  </si>
  <si>
    <t xml:space="preserve">Dashboard status differs from backend status</t>
  </si>
  <si>
    <t xml:space="preserve">DASH-V06, API-V06, DB-03</t>
  </si>
  <si>
    <t xml:space="preserve">TC-DASH-V01, TC-DASH-V03, TC-DASH-V05, TC-DASH-V06, TC-DASH-V07, TC-WF-V06, TC-WF-V07, TC-API-V06, TC-DB-03</t>
  </si>
  <si>
    <t xml:space="preserve">Agent sees another agent's applications</t>
  </si>
  <si>
    <t xml:space="preserve">DASH-V02, API-V08, DB-09</t>
  </si>
  <si>
    <t xml:space="preserve">TC-DASH-V02, TC-API-V08, TC-DB-09</t>
  </si>
  <si>
    <t xml:space="preserve">Resumed draft shows missing or stale data</t>
  </si>
  <si>
    <t xml:space="preserve">DASH-V04, WF-V02</t>
  </si>
  <si>
    <t xml:space="preserve">TC-DASH-V04, TC-WF-V02</t>
  </si>
  <si>
    <t xml:space="preserve">Client / KYC</t>
  </si>
  <si>
    <t xml:space="preserve">Age eligibility (18-65) rules missed</t>
  </si>
  <si>
    <t xml:space="preserve">CLI-V03, V04</t>
  </si>
  <si>
    <t xml:space="preserve">TC-CLI-V01, TC-CLI-V02, TC-CLI-V03, TC-CLI-V04, TC-CLI-V13</t>
  </si>
  <si>
    <t xml:space="preserve">Future date of birth accepted</t>
  </si>
  <si>
    <t xml:space="preserve">CLI-V05, API-V03</t>
  </si>
  <si>
    <t xml:space="preserve">TC-CLI-V05, TC-API-V03</t>
  </si>
  <si>
    <t xml:space="preserve">UI/DB</t>
  </si>
  <si>
    <t xml:space="preserve">SSN displayed unmasked, or stored/logged in clear text</t>
  </si>
  <si>
    <t xml:space="preserve">CLI-V08, DB-07</t>
  </si>
  <si>
    <t xml:space="preserve">TC-CLI-V08, TC-DB-07</t>
  </si>
  <si>
    <t xml:space="preserve">Income vs premium affordability not applied</t>
  </si>
  <si>
    <t xml:space="preserve">PEP details not enforced; PEP not flagged</t>
  </si>
  <si>
    <t xml:space="preserve">Address copy or email/phone format errors</t>
  </si>
  <si>
    <t xml:space="preserve">CLI-V06, V07</t>
  </si>
  <si>
    <t xml:space="preserve">TC-CLI-V06, TC-CLI-V07, TC-CLI-V11, TC-CLI-V14, TC-CLI-V15</t>
  </si>
  <si>
    <t xml:space="preserve">Product / Policy</t>
  </si>
  <si>
    <t xml:space="preserve">Product eligibility not validated against age or suitability</t>
  </si>
  <si>
    <t xml:space="preserve">PROD-V07, PROD-V08</t>
  </si>
  <si>
    <t xml:space="preserve">TC-PROD-V01, TC-PROD-V02, TC-PROD-V07, TC-PROD-V08, TC-PROD-V10</t>
  </si>
  <si>
    <t xml:space="preserve">Face value min/max not enforced</t>
  </si>
  <si>
    <t xml:space="preserve">PROD-V03, V04</t>
  </si>
  <si>
    <t xml:space="preserve">TC-PROD-V03, TC-PROD-V04</t>
  </si>
  <si>
    <t xml:space="preserve">Premium not recalculated after configuration change</t>
  </si>
  <si>
    <t xml:space="preserve">PROD-V05, V06</t>
  </si>
  <si>
    <t xml:space="preserve">TC-PROD-V05, TC-PROD-V06, TC-PROD-V09, TC-PROD-V11</t>
  </si>
  <si>
    <t xml:space="preserve">Premium on review page differs from stored premium</t>
  </si>
  <si>
    <t xml:space="preserve">PROD-V06, DB-06</t>
  </si>
  <si>
    <t xml:space="preserve">TC-PROD-V06, TC-WF-V08, TC-DB-06</t>
  </si>
  <si>
    <t xml:space="preserve">Riders</t>
  </si>
  <si>
    <t xml:space="preserve">Rider coverage exceeds base face value</t>
  </si>
  <si>
    <t xml:space="preserve">Mutually exclusive waiver riders both selectable</t>
  </si>
  <si>
    <t xml:space="preserve">Age-ineligible rider or maximum count not enforced</t>
  </si>
  <si>
    <t xml:space="preserve">RIDER-V03, V04</t>
  </si>
  <si>
    <t xml:space="preserve">TC-RIDER-V03, TC-RIDER-V04, TC-RIDER-V06</t>
  </si>
  <si>
    <t xml:space="preserve">Rider premium not itemized or total not updated</t>
  </si>
  <si>
    <t xml:space="preserve">TC-RIDER-V01, TC-RIDER-V07</t>
  </si>
  <si>
    <t xml:space="preserve">Beneficiaries</t>
  </si>
  <si>
    <t xml:space="preserve">Allocation below or above 100% accepted</t>
  </si>
  <si>
    <t xml:space="preserve">BEN-V02, V03, API-V04, DB-04</t>
  </si>
  <si>
    <t xml:space="preserve">TC-BEN-V01, TC-BEN-V02, TC-BEN-V03, TC-BEN-V04, TC-BEN-V10, TC-API-V04, TC-DB-04</t>
  </si>
  <si>
    <t xml:space="preserve">Minor beneficiary saved without guardian</t>
  </si>
  <si>
    <t xml:space="preserve">BEN-V05, DB-05</t>
  </si>
  <si>
    <t xml:space="preserve">TC-BEN-V05, TC-DB-05</t>
  </si>
  <si>
    <t xml:space="preserve">Duplicate beneficiary not blocked</t>
  </si>
  <si>
    <t xml:space="preserve">Trust/Organization fields wrong; irrevocable confirmation missing</t>
  </si>
  <si>
    <t xml:space="preserve">BEN-V06, V07, BEN-V11</t>
  </si>
  <si>
    <t xml:space="preserve">TC-BEN-V06, TC-BEN-V07, TC-BEN-V11</t>
  </si>
  <si>
    <t xml:space="preserve">Removing beneficiary leaves wrong running total or stale data</t>
  </si>
  <si>
    <t xml:space="preserve">Documents / Validation</t>
  </si>
  <si>
    <t xml:space="preserve">Mandatory KYC documents not enforced before submission</t>
  </si>
  <si>
    <t xml:space="preserve">DOC-V04, API-V05, DB-08</t>
  </si>
  <si>
    <t xml:space="preserve">TC-DOC-V04, TC-API-V05, TC-DB-08</t>
  </si>
  <si>
    <t xml:space="preserve">Unsupported file type or oversize file accepted</t>
  </si>
  <si>
    <t xml:space="preserve">DOC-V02, V03, API-V10</t>
  </si>
  <si>
    <t xml:space="preserve">TC-CLI-V09, TC-DOC-V01, TC-DOC-V02, TC-DOC-V03, TC-API-V10</t>
  </si>
  <si>
    <t xml:space="preserve">Submit button enabled while validation errors exist</t>
  </si>
  <si>
    <t xml:space="preserve">Validation summary incomplete or navigation wrong</t>
  </si>
  <si>
    <t xml:space="preserve">VAL-V01, V02</t>
  </si>
  <si>
    <t xml:space="preserve">TC-VAL-V01, TC-VAL-V02</t>
  </si>
  <si>
    <t xml:space="preserve">Submission / Status</t>
  </si>
  <si>
    <t xml:space="preserve">Draft data not persisted correctly</t>
  </si>
  <si>
    <t xml:space="preserve">WF-V01, V02, DB-01</t>
  </si>
  <si>
    <t xml:space="preserve">TC-PROD-V11, TC-WF-V01, TC-WF-V02, TC-DB-01</t>
  </si>
  <si>
    <t xml:space="preserve">Wrong status transition or missing/duplicate reference number</t>
  </si>
  <si>
    <t xml:space="preserve">WF-V03, DB-02</t>
  </si>
  <si>
    <t xml:space="preserve">TC-WF-V03, TC-WF-V05, TC-WF-V06, TC-WF-V07, TC-API-V11, TC-DB-02</t>
  </si>
  <si>
    <t xml:space="preserve">R35</t>
  </si>
  <si>
    <t xml:space="preserve">Incomplete application accepted by submit API</t>
  </si>
  <si>
    <t xml:space="preserve">Submitted application remains editable</t>
  </si>
  <si>
    <t xml:space="preserve">Cross-cutting</t>
  </si>
  <si>
    <t xml:space="preserve">API validation differs from UI validation</t>
  </si>
  <si>
    <t xml:space="preserve">TC-API-V01, TC-API-V07, TC-API-V09, TC-API-V12</t>
  </si>
  <si>
    <t xml:space="preserve">Failures hard to debug (inconsistent screenshots, traces, reports)</t>
  </si>
  <si>
    <t xml:space="preserve">Environment</t>
  </si>
  <si>
    <t xml:space="preserve">Shared lab instability, SSO or network restrictions block runs</t>
  </si>
  <si>
    <t xml:space="preserve">TC-FW-02, TC-FW-04</t>
  </si>
  <si>
    <t xml:space="preserve">Test data</t>
  </si>
  <si>
    <t xml:space="preserve">Seeded data collisions or exhausted users in parallel runs</t>
  </si>
  <si>
    <t xml:space="preserve">R41</t>
  </si>
  <si>
    <t xml:space="preserve">Database access or schema not available for backend validation</t>
  </si>
  <si>
    <t xml:space="preserve">DB-01..DB-10</t>
  </si>
  <si>
    <t xml:space="preserve">TC-DB-01, TC-DB-02, TC-DB-03, TC-DB-04, TC-DB-05, TC-DB-06, TC-DB-07, TC-DB-08, TC-DB-09, TC-DB-10</t>
  </si>
  <si>
    <t xml:space="preserve">Risks with no test case</t>
  </si>
  <si>
    <t xml:space="preserve">Traceability: seeded-defect themes (20 reported issues) to test cases</t>
  </si>
  <si>
    <t xml:space="preserve">No official seeded-defect catalog was available (Submission 1 question Q05). Fill column D when it is received.</t>
  </si>
  <si>
    <t xml:space="preserve">Reported Issue ID</t>
  </si>
  <si>
    <t xml:space="preserve">Description</t>
  </si>
  <si>
    <t xml:space="preserve">Seeded Defect Catalog Code (fill)</t>
  </si>
  <si>
    <t xml:space="preserve">Detected in run? (fill: Detected / Not detected / Not run)</t>
  </si>
  <si>
    <t xml:space="preserve">Defect Log ID (fill)</t>
  </si>
  <si>
    <t xml:space="preserve">RI-01</t>
  </si>
  <si>
    <t xml:space="preserve">RI-02</t>
  </si>
  <si>
    <t xml:space="preserve">Locked or invalid agents get incorrect / misleading messages</t>
  </si>
  <si>
    <t xml:space="preserve">TC-AUTH-V02, TC-AUTH-V06, TC-AUTH-V07</t>
  </si>
  <si>
    <t xml:space="preserve">RI-03</t>
  </si>
  <si>
    <t xml:space="preserve">Password policy not consistently enforced</t>
  </si>
  <si>
    <t xml:space="preserve">TC-AUTH-V08, TC-AUTH-V13</t>
  </si>
  <si>
    <t xml:space="preserve">RI-04</t>
  </si>
  <si>
    <t xml:space="preserve">Client age eligibility rules (18-65) missed</t>
  </si>
  <si>
    <t xml:space="preserve">TC-CLI-V03, TC-CLI-V04</t>
  </si>
  <si>
    <t xml:space="preserve">RI-05</t>
  </si>
  <si>
    <t xml:space="preserve">TC-CLI-V05, TC-API-V03, TC-API-V12</t>
  </si>
  <si>
    <t xml:space="preserve">RI-06</t>
  </si>
  <si>
    <t xml:space="preserve">Mandatory KYC documents not enforced</t>
  </si>
  <si>
    <t xml:space="preserve">TC-DOC-V04, TC-API-V05</t>
  </si>
  <si>
    <t xml:space="preserve">RI-07</t>
  </si>
  <si>
    <t xml:space="preserve">SSN not masked properly</t>
  </si>
  <si>
    <t xml:space="preserve">RI-08</t>
  </si>
  <si>
    <t xml:space="preserve">RI-09</t>
  </si>
  <si>
    <t xml:space="preserve">Product eligibility not validated against age / suitability</t>
  </si>
  <si>
    <t xml:space="preserve">TC-PROD-V07, TC-PROD-V08</t>
  </si>
  <si>
    <t xml:space="preserve">RI-10</t>
  </si>
  <si>
    <t xml:space="preserve">RI-11</t>
  </si>
  <si>
    <t xml:space="preserve">Exclusive waiver riders both selectable</t>
  </si>
  <si>
    <t xml:space="preserve">RI-12</t>
  </si>
  <si>
    <t xml:space="preserve">Premium not updated after configuration change</t>
  </si>
  <si>
    <t xml:space="preserve">TC-PROD-V05, TC-PROD-V06, TC-RIDER-V07</t>
  </si>
  <si>
    <t xml:space="preserve">RI-13</t>
  </si>
  <si>
    <t xml:space="preserve">Allocation below / above 100% allowed</t>
  </si>
  <si>
    <t xml:space="preserve">TC-BEN-V02, TC-BEN-V03, TC-API-V04</t>
  </si>
  <si>
    <t xml:space="preserve">RI-14</t>
  </si>
  <si>
    <t xml:space="preserve">Minor beneficiary guardian not required</t>
  </si>
  <si>
    <t xml:space="preserve">RI-15</t>
  </si>
  <si>
    <t xml:space="preserve">Duplicate beneficiaries not blocked</t>
  </si>
  <si>
    <t xml:space="preserve">RI-16</t>
  </si>
  <si>
    <t xml:space="preserve">Draft data not persisted</t>
  </si>
  <si>
    <t xml:space="preserve">TC-DASH-V04, TC-PROD-V11, TC-WF-V01, TC-WF-V02</t>
  </si>
  <si>
    <t xml:space="preserve">RI-17</t>
  </si>
  <si>
    <t xml:space="preserve">Submit enabled despite validation errors</t>
  </si>
  <si>
    <t xml:space="preserve">RI-18</t>
  </si>
  <si>
    <t xml:space="preserve">TC-DASH-V06, TC-WF-V06, TC-WF-V07, TC-API-V06</t>
  </si>
  <si>
    <t xml:space="preserve">RI-19</t>
  </si>
  <si>
    <t xml:space="preserve">TC-API-V03, TC-API-V04, TC-API-V07, TC-API-V12</t>
  </si>
  <si>
    <t xml:space="preserve">RI-20</t>
  </si>
  <si>
    <t xml:space="preserve">Failures hard to debug (no consistent evidence)</t>
  </si>
  <si>
    <t xml:space="preserve">Detection rate</t>
  </si>
  <si>
    <t xml:space="preserve">Exploration Log - hands-on walkthrough of the LIVE application BEFORE trusting the scripts</t>
  </si>
  <si>
    <t xml:space="preserve">Time-boxed (see total). Yellow cells are for you. Walk the full journey once, then resolve each open item and record it where the last-but-one column says.</t>
  </si>
  <si>
    <t xml:space="preserve">Item</t>
  </si>
  <si>
    <t xml:space="preserve">What to find out</t>
  </si>
  <si>
    <t xml:space="preserve">Record the answer in</t>
  </si>
  <si>
    <t xml:space="preserve">Time-box (min)</t>
  </si>
  <si>
    <t xml:space="preserve">Dependent test cases</t>
  </si>
  <si>
    <t xml:space="preserve"># Dependent</t>
  </si>
  <si>
    <t xml:space="preserve">Status</t>
  </si>
  <si>
    <t xml:space="preserve">Value found (fill)</t>
  </si>
  <si>
    <t xml:space="preserve">Date (fill)</t>
  </si>
  <si>
    <t xml:space="preserve">Notes (fill)</t>
  </si>
  <si>
    <t xml:space="preserve">Q02</t>
  </si>
  <si>
    <t xml:space="preserve">Base URL / port of the UI and API; reachable from the machine AND from the CI runner</t>
  </si>
  <si>
    <t xml:space="preserve">.env INSURANCE_BASE_URL, INSURANCE_API_URL</t>
  </si>
  <si>
    <t xml:space="preserve">Not started</t>
  </si>
  <si>
    <t xml:space="preserve">Q03</t>
  </si>
  <si>
    <t xml:space="preserve">API authentication (bearer token vs session cookie), header names, login response shape; payload field names for client / beneficiary / document calls</t>
  </si>
  <si>
    <t xml:space="preserve">.env API_AUTH_MODE, INSURANCE_API_KEY; api/helpers.js payloads</t>
  </si>
  <si>
    <t xml:space="preserve">Is read-only database access available? Engine, schema / data dictionary</t>
  </si>
  <si>
    <t xml:space="preserve">Unblocks DB-01..DB-10 (Blocked until then)</t>
  </si>
  <si>
    <t xml:space="preserve">Which seeded users exist: new agent, second agent, MFA agent; which can be locked / reset safely (disposable)</t>
  </si>
  <si>
    <t xml:space="preserve">.env AGENT_*_EMAIL</t>
  </si>
  <si>
    <t xml:space="preserve">TC-AUTH-V09, TC-DASH-V02, TC-DASH-V03, TC-API-V08</t>
  </si>
  <si>
    <t xml:space="preserve">Lockout behaviour (5th failure locks? duration / unlock) and session timeout length</t>
  </si>
  <si>
    <t xml:space="preserve">.env LOCKOUT_ATTEMPTS, SESSION_TIMEOUT_SECONDS</t>
  </si>
  <si>
    <t xml:space="preserve">How OTP is simulated (fixed code?) for login MFA and password reset</t>
  </si>
  <si>
    <t xml:space="preserve">.env OTP_CODE</t>
  </si>
  <si>
    <t xml:space="preserve">TC-AUTH-V08, TC-AUTH-V09, TC-AUTH-V12</t>
  </si>
  <si>
    <t xml:space="preserve">Q09</t>
  </si>
  <si>
    <t xml:space="preserve">Exact password policy rules and the change / reset page route</t>
  </si>
  <si>
    <t xml:space="preserve">config/messages.js passwordPolicy; tests/ui/auth.spec.js weak list</t>
  </si>
  <si>
    <t xml:space="preserve">Q10</t>
  </si>
  <si>
    <t xml:space="preserve">Age 18 and 65 inclusive? Age calculated on which date?</t>
  </si>
  <si>
    <t xml:space="preserve">.env AGE_BOUNDARY_INCLUSIVE</t>
  </si>
  <si>
    <t xml:space="preserve">Q11</t>
  </si>
  <si>
    <t xml:space="preserve">Income vs premium affordability rule: block or warning, threshold, where it appears</t>
  </si>
  <si>
    <t xml:space="preserve">tests/ui/client.spec.js CLI-V12 data; config/messages.js affordability</t>
  </si>
  <si>
    <t xml:space="preserve">Face value min / max per product, product eligibility by age, suitability mismatch example, exact Whole Life product names</t>
  </si>
  <si>
    <t xml:space="preserve">.env FACE_VALUE_MIN/MAX, PRODUCT_NAME_PATTERN, INELIGIBLE_AGE*, SUITABILITY_PRODUCT_PATTERN</t>
  </si>
  <si>
    <t xml:space="preserve">TC-PROD-V03, TC-PROD-V04, TC-PROD-V07, TC-PROD-V08</t>
  </si>
  <si>
    <t xml:space="preserve">Q14</t>
  </si>
  <si>
    <t xml:space="preserve">Valid payment-term / policy-term combinations</t>
  </si>
  <si>
    <t xml:space="preserve">tests/ui/product.spec.js PROD-V09</t>
  </si>
  <si>
    <t xml:space="preserve">Maximum rider count, age-restricted rider, which waiver riders are exclusive, rider names</t>
  </si>
  <si>
    <t xml:space="preserve">.env MAX_RIDERS, RIDER_*_PATTERN</t>
  </si>
  <si>
    <t xml:space="preserve">TC-RIDER-V03, TC-RIDER-V04, TC-RIDER-V05</t>
  </si>
  <si>
    <t xml:space="preserve">Maximum upload size and which documents are mandatory</t>
  </si>
  <si>
    <t xml:space="preserve">.env MAX_UPLOAD_MB</t>
  </si>
  <si>
    <t xml:space="preserve">Can tests create their own draft applications (UI and API)? Is cleanup possible?</t>
  </si>
  <si>
    <t xml:space="preserve">api/helpers.js disposableDraft()</t>
  </si>
  <si>
    <t xml:space="preserve">TC-API-V03, TC-API-V04, TC-API-V05</t>
  </si>
  <si>
    <t xml:space="preserve">ROUTES</t>
  </si>
  <si>
    <t xml:space="preserve">Walk the full journey once; note the URL of every step, the application id pattern in the URL, and the exact wording of validation messages</t>
  </si>
  <si>
    <t xml:space="preserve">config/routes.js, config/messages.js, config/selectors.js (run npm run discover)</t>
  </si>
  <si>
    <t xml:space="preserve">Total time-box (min)</t>
  </si>
  <si>
    <t xml:space="preserve">Items done</t>
  </si>
  <si>
    <t xml:space="preserve">Exit rule: do not start broad automation until ROUTES, Q02, Q03 and Q06 are Done. Other items may stay open - their tests skip with a reason instead of failing falsely.</t>
  </si>
  <si>
    <t xml:space="preserve">Known limitations and blocked areas</t>
  </si>
  <si>
    <t xml:space="preserve">#</t>
  </si>
  <si>
    <t xml:space="preserve">Area</t>
  </si>
  <si>
    <t xml:space="preserve">Limitation / blocked item</t>
  </si>
  <si>
    <t xml:space="preserve">Resolution</t>
  </si>
  <si>
    <t xml:space="preserve">Execution</t>
  </si>
  <si>
    <t xml:space="preserve">The automation has not been run against the real lab application (no access when it was built).</t>
  </si>
  <si>
    <t xml:space="preserve">Selectors, routes and messages are unconfirmed</t>
  </si>
  <si>
    <t xml:space="preserve">Complete the Exploration Log, run npm run discover and npm run verify:selectors, then run the smoke suite</t>
  </si>
  <si>
    <t xml:space="preserve">Selectors</t>
  </si>
  <si>
    <t xml:space="preserve">Only login-email, login-password, login-submit are confirmed. Other test ids are conventions; every control has a role/label fallback.</t>
  </si>
  <si>
    <t xml:space="preserve">Some locators may need correcting</t>
  </si>
  <si>
    <t xml:space="preserve">config/selectors.js is the only file to edit</t>
  </si>
  <si>
    <t xml:space="preserve">No DB engine, schema or access (Q04). DB-01..DB-10 are Blocked.</t>
  </si>
  <si>
    <t xml:space="preserve">10 cases not automated</t>
  </si>
  <si>
    <t xml:space="preserve">API reads are used as a proxy where the linked scenario has an API test</t>
  </si>
  <si>
    <t xml:space="preserve">Business rules</t>
  </si>
  <si>
    <t xml:space="preserve">Face value limits, max riders, upload size, lockout, age boundary, affordability rule are TBC.</t>
  </si>
  <si>
    <t xml:space="preserve">Dependent tests skip with a reason instead of failing</t>
  </si>
  <si>
    <t xml:space="preserve">Resolve in exploration and set the .env values</t>
  </si>
  <si>
    <t xml:space="preserve">Users</t>
  </si>
  <si>
    <t xml:space="preserve">Only agent.valid and agent.locked are confirmed. New / second / MFA / lockout / reset users need names (Q06).</t>
  </si>
  <si>
    <t xml:space="preserve">Isolation, empty-state, MFA, lockout, reset tests skip</t>
  </si>
  <si>
    <t xml:space="preserve">Set AGENT_*_EMAIL in .env</t>
  </si>
  <si>
    <t xml:space="preserve">Destructive tests</t>
  </si>
  <si>
    <t xml:space="preserve">AUTH-V07 locks an account; AUTH-V08/V13 may change a password if the app is defective.</t>
  </si>
  <si>
    <t xml:space="preserve">Disposable users required</t>
  </si>
  <si>
    <t xml:space="preserve">Use AGENT_LOCKOUT_* and AGENT_RESET_* only with throw-away users</t>
  </si>
  <si>
    <t xml:space="preserve">API payloads</t>
  </si>
  <si>
    <t xml:space="preserve">API field names are unconfirmed (Q03). Tests send a valid control request first and skip if it is rejected.</t>
  </si>
  <si>
    <t xml:space="preserve">No false defects, but some API tests may skip</t>
  </si>
  <si>
    <t xml:space="preserve">Adjust api/helpers.js after exploration</t>
  </si>
  <si>
    <t xml:space="preserve">Shared lab</t>
  </si>
  <si>
    <t xml:space="preserve">One worker by default. Parallel runs add load and can collide on shared data.</t>
  </si>
  <si>
    <t xml:space="preserve">Slower runs</t>
  </si>
  <si>
    <t xml:space="preserve">Raise WORKERS only after a stable single-worker baseline</t>
  </si>
  <si>
    <t xml:space="preserve">Evidence</t>
  </si>
  <si>
    <t xml:space="preserve">Traces and videos cannot be masked, so they are disabled for KYC / SSN tests. Masked screenshots are attached instead.</t>
  </si>
  <si>
    <t xml:space="preserve">Less debug detail for 4 sensitive tests</t>
  </si>
  <si>
    <t xml:space="preserve">Use the masked screenshot and diagnostics.json</t>
  </si>
  <si>
    <t xml:space="preserve">Cross-browser</t>
  </si>
  <si>
    <t xml:space="preserve">Chromium primary. Firefox / WebKit smoke only when CROSS_BROWSER=true.</t>
  </si>
  <si>
    <t xml:space="preserve">Limited cross-browser coverage</t>
  </si>
  <si>
    <t xml:space="preserve">Enable per the plan before release</t>
  </si>
  <si>
    <t xml:space="preserve">Priorities</t>
  </si>
  <si>
    <t xml:space="preserve">P1 re-cut from 52 to 19 cases by author judgement.</t>
  </si>
  <si>
    <t xml:space="preserve">Mentor / product owner should confirm the gate</t>
  </si>
  <si>
    <t xml:space="preserve">Review the Release Gate sheet</t>
  </si>
  <si>
    <t xml:space="preserve">Risk links</t>
  </si>
  <si>
    <t xml:space="preserve">36 cases were not named in the Submission 1 "Covered by" column and were linked to the closest risk by judgement.</t>
  </si>
  <si>
    <t xml:space="preserve">Traceability partly judgemental</t>
  </si>
  <si>
    <t xml:space="preserve">Review in the Traceability - Risks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</si>
</sst>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FF2B3"/>
      </patternFill>
    </fill>
    <fill>
      <patternFill patternType="solid">
        <fgColor rgb="FFF4B6B6"/>
        <bgColor rgb="FFF9D5A7"/>
      </patternFill>
    </fill>
    <fill>
      <patternFill patternType="solid">
        <fgColor rgb="FFD5E8D4"/>
        <bgColor rgb="FFF2F2F2"/>
      </patternFill>
    </fill>
    <fill>
      <patternFill patternType="solid">
        <fgColor rgb="FFF9D5A7"/>
        <bgColor rgb="FFFFF2B3"/>
      </patternFill>
    </fill>
    <fill>
      <patternFill patternType="solid">
        <fgColor rgb="FFFFFFFF"/>
        <bgColor rgb="FFF2F2F2"/>
      </patternFill>
    </fill>
    <fill>
      <patternFill patternType="solid">
        <fgColor rgb="FFFFF2B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9D5A7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2B3"/>
      <rgbColor rgb="FF99CCFF"/>
      <rgbColor rgb="FFF4B6B6"/>
      <rgbColor rgb="FFCC99FF"/>
      <rgbColor rgb="FFF9D5A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6" min="4" style="0" width="8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n">
        <f aca="false">COUNTIF('Test Cases'!$C$5:$C$109,A5)</f>
        <v>13</v>
      </c>
      <c r="C5" s="4" t="n">
        <f aca="false">COUNTIFS('Test Cases'!$C$5:$C$109,A5,'Test Cases'!$P$5:$P$109,"P1")</f>
        <v>3</v>
      </c>
      <c r="D5" s="4" t="n">
        <f aca="false">COUNTIFS('Test Cases'!$C$5:$C$109,A5,'Test Cases'!$P$5:$P$109,"P2")</f>
        <v>9</v>
      </c>
      <c r="E5" s="4" t="n">
        <f aca="false">COUNTIFS('Test Cases'!$C$5:$C$109,A5,'Test Cases'!$P$5:$P$109,"P3")</f>
        <v>1</v>
      </c>
      <c r="F5" s="4" t="n">
        <f aca="false">COUNTIFS('Test Cases'!$C$5:$C$109,A5,'Test Cases'!$S$5:$S$109,"Y")</f>
        <v>3</v>
      </c>
      <c r="G5" s="4" t="n">
        <f aca="false">COUNTIFS('Test Cases'!$C$5:$C$109,A5,'Test Cases'!$G$5:$G$109,"?*")</f>
        <v>6</v>
      </c>
      <c r="H5" s="4" t="n">
        <f aca="false">COUNTIFS('Test Cases'!$C$5:$C$109,A5,'Test Cases'!$V$5:$V$109,"Automated")</f>
        <v>13</v>
      </c>
      <c r="I5" s="4" t="n">
        <f aca="false">COUNTIFS('Test Cases'!$C$5:$C$109,A5,'Test Cases'!$V$5:$V$109,"Blocked")</f>
        <v>0</v>
      </c>
      <c r="J5" s="4" t="n">
        <f aca="false">COUNTIFS('Test Cases'!$C$5:$C$109,A5,'Test Cases'!$T$5:$T$109,"Y")</f>
        <v>0</v>
      </c>
    </row>
    <row r="6" customFormat="false" ht="15" hidden="false" customHeight="false" outlineLevel="0" collapsed="false">
      <c r="A6" s="4" t="s">
        <v>13</v>
      </c>
      <c r="B6" s="4" t="n">
        <f aca="false">COUNTIF('Test Cases'!$C$5:$C$109,A6)</f>
        <v>7</v>
      </c>
      <c r="C6" s="4" t="n">
        <f aca="false">COUNTIFS('Test Cases'!$C$5:$C$109,A6,'Test Cases'!$P$5:$P$109,"P1")</f>
        <v>1</v>
      </c>
      <c r="D6" s="4" t="n">
        <f aca="false">COUNTIFS('Test Cases'!$C$5:$C$109,A6,'Test Cases'!$P$5:$P$109,"P2")</f>
        <v>4</v>
      </c>
      <c r="E6" s="4" t="n">
        <f aca="false">COUNTIFS('Test Cases'!$C$5:$C$109,A6,'Test Cases'!$P$5:$P$109,"P3")</f>
        <v>2</v>
      </c>
      <c r="F6" s="4" t="n">
        <f aca="false">COUNTIFS('Test Cases'!$C$5:$C$109,A6,'Test Cases'!$S$5:$S$109,"Y")</f>
        <v>1</v>
      </c>
      <c r="G6" s="4" t="n">
        <f aca="false">COUNTIFS('Test Cases'!$C$5:$C$109,A6,'Test Cases'!$G$5:$G$109,"?*")</f>
        <v>2</v>
      </c>
      <c r="H6" s="4" t="n">
        <f aca="false">COUNTIFS('Test Cases'!$C$5:$C$109,A6,'Test Cases'!$V$5:$V$109,"Automated")</f>
        <v>7</v>
      </c>
      <c r="I6" s="4" t="n">
        <f aca="false">COUNTIFS('Test Cases'!$C$5:$C$109,A6,'Test Cases'!$V$5:$V$109,"Blocked")</f>
        <v>0</v>
      </c>
      <c r="J6" s="4" t="n">
        <f aca="false">COUNTIFS('Test Cases'!$C$5:$C$109,A6,'Test Cases'!$T$5:$T$109,"Y")</f>
        <v>0</v>
      </c>
    </row>
    <row r="7" customFormat="false" ht="15" hidden="false" customHeight="false" outlineLevel="0" collapsed="false">
      <c r="A7" s="4" t="s">
        <v>14</v>
      </c>
      <c r="B7" s="4" t="n">
        <f aca="false">COUNTIF('Test Cases'!$C$5:$C$109,A7)</f>
        <v>15</v>
      </c>
      <c r="C7" s="4" t="n">
        <f aca="false">COUNTIFS('Test Cases'!$C$5:$C$109,A7,'Test Cases'!$P$5:$P$109,"P1")</f>
        <v>2</v>
      </c>
      <c r="D7" s="4" t="n">
        <f aca="false">COUNTIFS('Test Cases'!$C$5:$C$109,A7,'Test Cases'!$P$5:$P$109,"P2")</f>
        <v>11</v>
      </c>
      <c r="E7" s="4" t="n">
        <f aca="false">COUNTIFS('Test Cases'!$C$5:$C$109,A7,'Test Cases'!$P$5:$P$109,"P3")</f>
        <v>2</v>
      </c>
      <c r="F7" s="4" t="n">
        <f aca="false">COUNTIFS('Test Cases'!$C$5:$C$109,A7,'Test Cases'!$S$5:$S$109,"Y")</f>
        <v>1</v>
      </c>
      <c r="G7" s="4" t="n">
        <f aca="false">COUNTIFS('Test Cases'!$C$5:$C$109,A7,'Test Cases'!$G$5:$G$109,"?*")</f>
        <v>5</v>
      </c>
      <c r="H7" s="4" t="n">
        <f aca="false">COUNTIFS('Test Cases'!$C$5:$C$109,A7,'Test Cases'!$V$5:$V$109,"Automated")</f>
        <v>15</v>
      </c>
      <c r="I7" s="4" t="n">
        <f aca="false">COUNTIFS('Test Cases'!$C$5:$C$109,A7,'Test Cases'!$V$5:$V$109,"Blocked")</f>
        <v>0</v>
      </c>
      <c r="J7" s="4" t="n">
        <f aca="false">COUNTIFS('Test Cases'!$C$5:$C$109,A7,'Test Cases'!$T$5:$T$109,"Y")</f>
        <v>4</v>
      </c>
    </row>
    <row r="8" customFormat="false" ht="15" hidden="false" customHeight="false" outlineLevel="0" collapsed="false">
      <c r="A8" s="4" t="s">
        <v>15</v>
      </c>
      <c r="B8" s="4" t="n">
        <f aca="false">COUNTIF('Test Cases'!$C$5:$C$109,A8)</f>
        <v>11</v>
      </c>
      <c r="C8" s="4" t="n">
        <f aca="false">COUNTIFS('Test Cases'!$C$5:$C$109,A8,'Test Cases'!$P$5:$P$109,"P1")</f>
        <v>3</v>
      </c>
      <c r="D8" s="4" t="n">
        <f aca="false">COUNTIFS('Test Cases'!$C$5:$C$109,A8,'Test Cases'!$P$5:$P$109,"P2")</f>
        <v>8</v>
      </c>
      <c r="E8" s="4" t="n">
        <f aca="false">COUNTIFS('Test Cases'!$C$5:$C$109,A8,'Test Cases'!$P$5:$P$109,"P3")</f>
        <v>0</v>
      </c>
      <c r="F8" s="4" t="n">
        <f aca="false">COUNTIFS('Test Cases'!$C$5:$C$109,A8,'Test Cases'!$S$5:$S$109,"Y")</f>
        <v>1</v>
      </c>
      <c r="G8" s="4" t="n">
        <f aca="false">COUNTIFS('Test Cases'!$C$5:$C$109,A8,'Test Cases'!$G$5:$G$109,"?*")</f>
        <v>5</v>
      </c>
      <c r="H8" s="4" t="n">
        <f aca="false">COUNTIFS('Test Cases'!$C$5:$C$109,A8,'Test Cases'!$V$5:$V$109,"Automated")</f>
        <v>11</v>
      </c>
      <c r="I8" s="4" t="n">
        <f aca="false">COUNTIFS('Test Cases'!$C$5:$C$109,A8,'Test Cases'!$V$5:$V$109,"Blocked")</f>
        <v>0</v>
      </c>
      <c r="J8" s="4" t="n">
        <f aca="false">COUNTIFS('Test Cases'!$C$5:$C$109,A8,'Test Cases'!$T$5:$T$109,"Y")</f>
        <v>0</v>
      </c>
    </row>
    <row r="9" customFormat="false" ht="15" hidden="false" customHeight="false" outlineLevel="0" collapsed="false">
      <c r="A9" s="4" t="s">
        <v>16</v>
      </c>
      <c r="B9" s="4" t="n">
        <f aca="false">COUNTIF('Test Cases'!$C$5:$C$109,A9)</f>
        <v>7</v>
      </c>
      <c r="C9" s="4" t="n">
        <f aca="false">COUNTIFS('Test Cases'!$C$5:$C$109,A9,'Test Cases'!$P$5:$P$109,"P1")</f>
        <v>1</v>
      </c>
      <c r="D9" s="4" t="n">
        <f aca="false">COUNTIFS('Test Cases'!$C$5:$C$109,A9,'Test Cases'!$P$5:$P$109,"P2")</f>
        <v>6</v>
      </c>
      <c r="E9" s="4" t="n">
        <f aca="false">COUNTIFS('Test Cases'!$C$5:$C$109,A9,'Test Cases'!$P$5:$P$109,"P3")</f>
        <v>0</v>
      </c>
      <c r="F9" s="4" t="n">
        <f aca="false">COUNTIFS('Test Cases'!$C$5:$C$109,A9,'Test Cases'!$S$5:$S$109,"Y")</f>
        <v>1</v>
      </c>
      <c r="G9" s="4" t="n">
        <f aca="false">COUNTIFS('Test Cases'!$C$5:$C$109,A9,'Test Cases'!$G$5:$G$109,"?*")</f>
        <v>3</v>
      </c>
      <c r="H9" s="4" t="n">
        <f aca="false">COUNTIFS('Test Cases'!$C$5:$C$109,A9,'Test Cases'!$V$5:$V$109,"Automated")</f>
        <v>7</v>
      </c>
      <c r="I9" s="4" t="n">
        <f aca="false">COUNTIFS('Test Cases'!$C$5:$C$109,A9,'Test Cases'!$V$5:$V$109,"Blocked")</f>
        <v>0</v>
      </c>
      <c r="J9" s="4" t="n">
        <f aca="false">COUNTIFS('Test Cases'!$C$5:$C$109,A9,'Test Cases'!$T$5:$T$109,"Y")</f>
        <v>0</v>
      </c>
    </row>
    <row r="10" customFormat="false" ht="15" hidden="false" customHeight="false" outlineLevel="0" collapsed="false">
      <c r="A10" s="4" t="s">
        <v>17</v>
      </c>
      <c r="B10" s="4" t="n">
        <f aca="false">COUNTIF('Test Cases'!$C$5:$C$109,A10)</f>
        <v>11</v>
      </c>
      <c r="C10" s="4" t="n">
        <f aca="false">COUNTIFS('Test Cases'!$C$5:$C$109,A10,'Test Cases'!$P$5:$P$109,"P1")</f>
        <v>2</v>
      </c>
      <c r="D10" s="4" t="n">
        <f aca="false">COUNTIFS('Test Cases'!$C$5:$C$109,A10,'Test Cases'!$P$5:$P$109,"P2")</f>
        <v>7</v>
      </c>
      <c r="E10" s="4" t="n">
        <f aca="false">COUNTIFS('Test Cases'!$C$5:$C$109,A10,'Test Cases'!$P$5:$P$109,"P3")</f>
        <v>2</v>
      </c>
      <c r="F10" s="4" t="n">
        <f aca="false">COUNTIFS('Test Cases'!$C$5:$C$109,A10,'Test Cases'!$S$5:$S$109,"Y")</f>
        <v>1</v>
      </c>
      <c r="G10" s="4" t="n">
        <f aca="false">COUNTIFS('Test Cases'!$C$5:$C$109,A10,'Test Cases'!$G$5:$G$109,"?*")</f>
        <v>4</v>
      </c>
      <c r="H10" s="4" t="n">
        <f aca="false">COUNTIFS('Test Cases'!$C$5:$C$109,A10,'Test Cases'!$V$5:$V$109,"Automated")</f>
        <v>11</v>
      </c>
      <c r="I10" s="4" t="n">
        <f aca="false">COUNTIFS('Test Cases'!$C$5:$C$109,A10,'Test Cases'!$V$5:$V$109,"Blocked")</f>
        <v>0</v>
      </c>
      <c r="J10" s="4" t="n">
        <f aca="false">COUNTIFS('Test Cases'!$C$5:$C$109,A10,'Test Cases'!$T$5:$T$109,"Y")</f>
        <v>0</v>
      </c>
    </row>
    <row r="11" customFormat="false" ht="15" hidden="false" customHeight="false" outlineLevel="0" collapsed="false">
      <c r="A11" s="4" t="s">
        <v>18</v>
      </c>
      <c r="B11" s="4" t="n">
        <f aca="false">COUNTIF('Test Cases'!$C$5:$C$109,A11)</f>
        <v>4</v>
      </c>
      <c r="C11" s="4" t="n">
        <f aca="false">COUNTIFS('Test Cases'!$C$5:$C$109,A11,'Test Cases'!$P$5:$P$109,"P1")</f>
        <v>1</v>
      </c>
      <c r="D11" s="4" t="n">
        <f aca="false">COUNTIFS('Test Cases'!$C$5:$C$109,A11,'Test Cases'!$P$5:$P$109,"P2")</f>
        <v>3</v>
      </c>
      <c r="E11" s="4" t="n">
        <f aca="false">COUNTIFS('Test Cases'!$C$5:$C$109,A11,'Test Cases'!$P$5:$P$109,"P3")</f>
        <v>0</v>
      </c>
      <c r="F11" s="4" t="n">
        <f aca="false">COUNTIFS('Test Cases'!$C$5:$C$109,A11,'Test Cases'!$S$5:$S$109,"Y")</f>
        <v>1</v>
      </c>
      <c r="G11" s="4" t="n">
        <f aca="false">COUNTIFS('Test Cases'!$C$5:$C$109,A11,'Test Cases'!$G$5:$G$109,"?*")</f>
        <v>1</v>
      </c>
      <c r="H11" s="4" t="n">
        <f aca="false">COUNTIFS('Test Cases'!$C$5:$C$109,A11,'Test Cases'!$V$5:$V$109,"Automated")</f>
        <v>4</v>
      </c>
      <c r="I11" s="4" t="n">
        <f aca="false">COUNTIFS('Test Cases'!$C$5:$C$109,A11,'Test Cases'!$V$5:$V$109,"Blocked")</f>
        <v>0</v>
      </c>
      <c r="J11" s="4" t="n">
        <f aca="false">COUNTIFS('Test Cases'!$C$5:$C$109,A11,'Test Cases'!$T$5:$T$109,"Y")</f>
        <v>0</v>
      </c>
    </row>
    <row r="12" customFormat="false" ht="15" hidden="false" customHeight="false" outlineLevel="0" collapsed="false">
      <c r="A12" s="4" t="s">
        <v>19</v>
      </c>
      <c r="B12" s="4" t="n">
        <f aca="false">COUNTIF('Test Cases'!$C$5:$C$109,A12)</f>
        <v>3</v>
      </c>
      <c r="C12" s="4" t="n">
        <f aca="false">COUNTIFS('Test Cases'!$C$5:$C$109,A12,'Test Cases'!$P$5:$P$109,"P1")</f>
        <v>1</v>
      </c>
      <c r="D12" s="4" t="n">
        <f aca="false">COUNTIFS('Test Cases'!$C$5:$C$109,A12,'Test Cases'!$P$5:$P$109,"P2")</f>
        <v>1</v>
      </c>
      <c r="E12" s="4" t="n">
        <f aca="false">COUNTIFS('Test Cases'!$C$5:$C$109,A12,'Test Cases'!$P$5:$P$109,"P3")</f>
        <v>1</v>
      </c>
      <c r="F12" s="4" t="n">
        <f aca="false">COUNTIFS('Test Cases'!$C$5:$C$109,A12,'Test Cases'!$S$5:$S$109,"Y")</f>
        <v>0</v>
      </c>
      <c r="G12" s="4" t="n">
        <f aca="false">COUNTIFS('Test Cases'!$C$5:$C$109,A12,'Test Cases'!$G$5:$G$109,"?*")</f>
        <v>1</v>
      </c>
      <c r="H12" s="4" t="n">
        <f aca="false">COUNTIFS('Test Cases'!$C$5:$C$109,A12,'Test Cases'!$V$5:$V$109,"Automated")</f>
        <v>3</v>
      </c>
      <c r="I12" s="4" t="n">
        <f aca="false">COUNTIFS('Test Cases'!$C$5:$C$109,A12,'Test Cases'!$V$5:$V$109,"Blocked")</f>
        <v>0</v>
      </c>
      <c r="J12" s="4" t="n">
        <f aca="false">COUNTIFS('Test Cases'!$C$5:$C$109,A12,'Test Cases'!$T$5:$T$109,"Y")</f>
        <v>0</v>
      </c>
    </row>
    <row r="13" customFormat="false" ht="15" hidden="false" customHeight="false" outlineLevel="0" collapsed="false">
      <c r="A13" s="4" t="s">
        <v>20</v>
      </c>
      <c r="B13" s="4" t="n">
        <f aca="false">COUNTIF('Test Cases'!$C$5:$C$109,A13)</f>
        <v>8</v>
      </c>
      <c r="C13" s="4" t="n">
        <f aca="false">COUNTIFS('Test Cases'!$C$5:$C$109,A13,'Test Cases'!$P$5:$P$109,"P1")</f>
        <v>3</v>
      </c>
      <c r="D13" s="4" t="n">
        <f aca="false">COUNTIFS('Test Cases'!$C$5:$C$109,A13,'Test Cases'!$P$5:$P$109,"P2")</f>
        <v>4</v>
      </c>
      <c r="E13" s="4" t="n">
        <f aca="false">COUNTIFS('Test Cases'!$C$5:$C$109,A13,'Test Cases'!$P$5:$P$109,"P3")</f>
        <v>1</v>
      </c>
      <c r="F13" s="4" t="n">
        <f aca="false">COUNTIFS('Test Cases'!$C$5:$C$109,A13,'Test Cases'!$S$5:$S$109,"Y")</f>
        <v>3</v>
      </c>
      <c r="G13" s="4" t="n">
        <f aca="false">COUNTIFS('Test Cases'!$C$5:$C$109,A13,'Test Cases'!$G$5:$G$109,"?*")</f>
        <v>4</v>
      </c>
      <c r="H13" s="4" t="n">
        <f aca="false">COUNTIFS('Test Cases'!$C$5:$C$109,A13,'Test Cases'!$V$5:$V$109,"Automated")</f>
        <v>8</v>
      </c>
      <c r="I13" s="4" t="n">
        <f aca="false">COUNTIFS('Test Cases'!$C$5:$C$109,A13,'Test Cases'!$V$5:$V$109,"Blocked")</f>
        <v>0</v>
      </c>
      <c r="J13" s="4" t="n">
        <f aca="false">COUNTIFS('Test Cases'!$C$5:$C$109,A13,'Test Cases'!$T$5:$T$109,"Y")</f>
        <v>0</v>
      </c>
    </row>
    <row r="14" customFormat="false" ht="15" hidden="false" customHeight="false" outlineLevel="0" collapsed="false">
      <c r="A14" s="4" t="s">
        <v>21</v>
      </c>
      <c r="B14" s="4" t="n">
        <f aca="false">COUNTIF('Test Cases'!$C$5:$C$109,A14)</f>
        <v>12</v>
      </c>
      <c r="C14" s="4" t="n">
        <f aca="false">COUNTIFS('Test Cases'!$C$5:$C$109,A14,'Test Cases'!$P$5:$P$109,"P1")</f>
        <v>2</v>
      </c>
      <c r="D14" s="4" t="n">
        <f aca="false">COUNTIFS('Test Cases'!$C$5:$C$109,A14,'Test Cases'!$P$5:$P$109,"P2")</f>
        <v>10</v>
      </c>
      <c r="E14" s="4" t="n">
        <f aca="false">COUNTIFS('Test Cases'!$C$5:$C$109,A14,'Test Cases'!$P$5:$P$109,"P3")</f>
        <v>0</v>
      </c>
      <c r="F14" s="4" t="n">
        <f aca="false">COUNTIFS('Test Cases'!$C$5:$C$109,A14,'Test Cases'!$S$5:$S$109,"Y")</f>
        <v>2</v>
      </c>
      <c r="G14" s="4" t="n">
        <f aca="false">COUNTIFS('Test Cases'!$C$5:$C$109,A14,'Test Cases'!$G$5:$G$109,"?*")</f>
        <v>6</v>
      </c>
      <c r="H14" s="4" t="n">
        <f aca="false">COUNTIFS('Test Cases'!$C$5:$C$109,A14,'Test Cases'!$V$5:$V$109,"Automated")</f>
        <v>12</v>
      </c>
      <c r="I14" s="4" t="n">
        <f aca="false">COUNTIFS('Test Cases'!$C$5:$C$109,A14,'Test Cases'!$V$5:$V$109,"Blocked")</f>
        <v>0</v>
      </c>
      <c r="J14" s="4" t="n">
        <f aca="false">COUNTIFS('Test Cases'!$C$5:$C$109,A14,'Test Cases'!$T$5:$T$109,"Y")</f>
        <v>0</v>
      </c>
    </row>
    <row r="15" customFormat="false" ht="15" hidden="false" customHeight="false" outlineLevel="0" collapsed="false">
      <c r="A15" s="4" t="s">
        <v>22</v>
      </c>
      <c r="B15" s="4" t="n">
        <f aca="false">COUNTIF('Test Cases'!$C$5:$C$109,A15)</f>
        <v>10</v>
      </c>
      <c r="C15" s="4" t="n">
        <f aca="false">COUNTIFS('Test Cases'!$C$5:$C$109,A15,'Test Cases'!$P$5:$P$109,"P1")</f>
        <v>0</v>
      </c>
      <c r="D15" s="4" t="n">
        <f aca="false">COUNTIFS('Test Cases'!$C$5:$C$109,A15,'Test Cases'!$P$5:$P$109,"P2")</f>
        <v>10</v>
      </c>
      <c r="E15" s="4" t="n">
        <f aca="false">COUNTIFS('Test Cases'!$C$5:$C$109,A15,'Test Cases'!$P$5:$P$109,"P3")</f>
        <v>0</v>
      </c>
      <c r="F15" s="4" t="n">
        <f aca="false">COUNTIFS('Test Cases'!$C$5:$C$109,A15,'Test Cases'!$S$5:$S$109,"Y")</f>
        <v>0</v>
      </c>
      <c r="G15" s="4" t="n">
        <f aca="false">COUNTIFS('Test Cases'!$C$5:$C$109,A15,'Test Cases'!$G$5:$G$109,"?*")</f>
        <v>0</v>
      </c>
      <c r="H15" s="4" t="n">
        <f aca="false">COUNTIFS('Test Cases'!$C$5:$C$109,A15,'Test Cases'!$V$5:$V$109,"Automated")</f>
        <v>0</v>
      </c>
      <c r="I15" s="4" t="n">
        <f aca="false">COUNTIFS('Test Cases'!$C$5:$C$109,A15,'Test Cases'!$V$5:$V$109,"Blocked")</f>
        <v>10</v>
      </c>
      <c r="J15" s="4" t="n">
        <f aca="false">COUNTIFS('Test Cases'!$C$5:$C$109,A15,'Test Cases'!$T$5:$T$109,"Y")</f>
        <v>0</v>
      </c>
    </row>
    <row r="16" customFormat="false" ht="15" hidden="false" customHeight="false" outlineLevel="0" collapsed="false">
      <c r="A16" s="4" t="s">
        <v>23</v>
      </c>
      <c r="B16" s="4" t="n">
        <f aca="false">COUNTIF('Test Cases'!$C$5:$C$109,A16)</f>
        <v>4</v>
      </c>
      <c r="C16" s="4" t="n">
        <f aca="false">COUNTIFS('Test Cases'!$C$5:$C$109,A16,'Test Cases'!$P$5:$P$109,"P1")</f>
        <v>0</v>
      </c>
      <c r="D16" s="4" t="n">
        <f aca="false">COUNTIFS('Test Cases'!$C$5:$C$109,A16,'Test Cases'!$P$5:$P$109,"P2")</f>
        <v>4</v>
      </c>
      <c r="E16" s="4" t="n">
        <f aca="false">COUNTIFS('Test Cases'!$C$5:$C$109,A16,'Test Cases'!$P$5:$P$109,"P3")</f>
        <v>0</v>
      </c>
      <c r="F16" s="4" t="n">
        <f aca="false">COUNTIFS('Test Cases'!$C$5:$C$109,A16,'Test Cases'!$S$5:$S$109,"Y")</f>
        <v>0</v>
      </c>
      <c r="G16" s="4" t="n">
        <f aca="false">COUNTIFS('Test Cases'!$C$5:$C$109,A16,'Test Cases'!$G$5:$G$109,"?*")</f>
        <v>1</v>
      </c>
      <c r="H16" s="4" t="n">
        <f aca="false">COUNTIFS('Test Cases'!$C$5:$C$109,A16,'Test Cases'!$V$5:$V$109,"Automated")</f>
        <v>4</v>
      </c>
      <c r="I16" s="4" t="n">
        <f aca="false">COUNTIFS('Test Cases'!$C$5:$C$109,A16,'Test Cases'!$V$5:$V$109,"Blocked")</f>
        <v>0</v>
      </c>
      <c r="J16" s="4" t="n">
        <f aca="false">COUNTIFS('Test Cases'!$C$5:$C$109,A16,'Test Cases'!$T$5:$T$109,"Y")</f>
        <v>0</v>
      </c>
    </row>
    <row r="17" customFormat="false" ht="15" hidden="false" customHeight="false" outlineLevel="0" collapsed="false">
      <c r="A17" s="5" t="s">
        <v>3</v>
      </c>
      <c r="B17" s="5" t="n">
        <f aca="false">SUM(B5:B16)</f>
        <v>105</v>
      </c>
      <c r="C17" s="5" t="n">
        <f aca="false">SUM(C5:C16)</f>
        <v>19</v>
      </c>
      <c r="D17" s="5" t="n">
        <f aca="false">SUM(D5:D16)</f>
        <v>77</v>
      </c>
      <c r="E17" s="5" t="n">
        <f aca="false">SUM(E5:E16)</f>
        <v>9</v>
      </c>
      <c r="F17" s="5" t="n">
        <f aca="false">SUM(F5:F16)</f>
        <v>14</v>
      </c>
      <c r="G17" s="5" t="n">
        <f aca="false">SUM(G5:G16)</f>
        <v>38</v>
      </c>
      <c r="H17" s="5" t="n">
        <f aca="false">SUM(H5:H16)</f>
        <v>95</v>
      </c>
      <c r="I17" s="5" t="n">
        <f aca="false">SUM(I5:I16)</f>
        <v>10</v>
      </c>
      <c r="J17" s="5" t="n">
        <f aca="false">SUM(J5:J16)</f>
        <v>4</v>
      </c>
    </row>
    <row r="19" customFormat="false" ht="15" hidden="false" customHeight="false" outlineLevel="0" collapsed="false">
      <c r="A19" s="6" t="s">
        <v>24</v>
      </c>
      <c r="B19" s="7" t="n">
        <f aca="false">C17/B17</f>
        <v>0.180952380952381</v>
      </c>
    </row>
    <row r="20" customFormat="false" ht="15" hidden="false" customHeight="false" outlineLevel="0" collapsed="false">
      <c r="A20" s="6" t="s">
        <v>25</v>
      </c>
      <c r="B20" s="8" t="str">
        <f aca="false">IF(AND(C17&gt;=15,C17&lt;=20),"Yes","No - review")</f>
        <v>Yes</v>
      </c>
    </row>
    <row r="21" customFormat="false" ht="15" hidden="false" customHeight="false" outlineLevel="0" collapsed="false">
      <c r="A21" s="6" t="s">
        <v>26</v>
      </c>
      <c r="B21" s="7" t="n">
        <f aca="false">H17/B17</f>
        <v>0.904761904761905</v>
      </c>
    </row>
    <row r="22" customFormat="false" ht="15" hidden="false" customHeight="false" outlineLevel="0" collapsed="false">
      <c r="A22" s="6" t="s">
        <v>27</v>
      </c>
      <c r="B22" s="8" t="str">
        <f aca="false">COUNTIF('Traceability - Risks'!J5:J45,"&gt;0")&amp;" of 41"</f>
        <v>41 of 41</v>
      </c>
    </row>
    <row r="23" customFormat="false" ht="15" hidden="false" customHeight="false" outlineLevel="0" collapsed="false">
      <c r="A23" s="6" t="s">
        <v>28</v>
      </c>
      <c r="B23" s="8" t="str">
        <f aca="false">COUNTIF('Traceability - Defects'!F5:F24,"&gt;0")&amp;" of 20"</f>
        <v>20 of 20</v>
      </c>
    </row>
    <row r="25" customFormat="false" ht="15" hidden="false" customHeight="false" outlineLevel="0" collapsed="false">
      <c r="A25" s="9" t="s">
        <v>29</v>
      </c>
    </row>
    <row r="26" customFormat="false" ht="15" hidden="false" customHeight="false" outlineLevel="0" collapsed="false">
      <c r="A26" s="10" t="s">
        <v>30</v>
      </c>
    </row>
    <row r="27" customFormat="false" ht="15" hidden="false" customHeight="false" outlineLevel="0" collapsed="false">
      <c r="A27" s="1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A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4" min="14" style="0" width="48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8"/>
    <col collapsed="false" customWidth="true" hidden="false" outlineLevel="0" max="19" min="19" style="0" width="7"/>
    <col collapsed="false" customWidth="true" hidden="false" outlineLevel="0" max="20" min="20" style="0" width="11"/>
    <col collapsed="false" customWidth="true" hidden="false" outlineLevel="0" max="21" min="21" style="0" width="30"/>
    <col collapsed="false" customWidth="true" hidden="false" outlineLevel="0" max="22" min="22" style="0" width="12"/>
    <col collapsed="false" customWidth="true" hidden="false" outlineLevel="0" max="24" min="23" style="0" width="30"/>
    <col collapsed="false" customWidth="true" hidden="false" outlineLevel="0" max="25" min="25" style="0" width="12"/>
    <col collapsed="false" customWidth="true" hidden="false" outlineLevel="0" max="26" min="26" style="0" width="40"/>
    <col collapsed="false" customWidth="true" hidden="false" outlineLevel="0" max="27" min="27" style="0" width="36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1.5" hidden="false" customHeight="true" outlineLevel="0" collapsed="false">
      <c r="A4" s="3" t="s">
        <v>34</v>
      </c>
      <c r="B4" s="3" t="s">
        <v>35</v>
      </c>
      <c r="C4" s="3" t="s">
        <v>2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3" t="s">
        <v>7</v>
      </c>
      <c r="T4" s="3" t="s">
        <v>51</v>
      </c>
      <c r="U4" s="3" t="s">
        <v>52</v>
      </c>
      <c r="V4" s="3" t="s">
        <v>53</v>
      </c>
      <c r="W4" s="3" t="s">
        <v>54</v>
      </c>
      <c r="X4" s="3" t="s">
        <v>55</v>
      </c>
      <c r="Y4" s="3" t="s">
        <v>56</v>
      </c>
      <c r="Z4" s="3" t="s">
        <v>57</v>
      </c>
      <c r="AA4" s="3" t="s">
        <v>58</v>
      </c>
    </row>
    <row r="5" customFormat="false" ht="35.05" hidden="false" customHeight="false" outlineLevel="0" collapsed="false">
      <c r="A5" s="4" t="s">
        <v>59</v>
      </c>
      <c r="B5" s="4" t="s">
        <v>60</v>
      </c>
      <c r="C5" s="4" t="s">
        <v>12</v>
      </c>
      <c r="D5" s="4" t="s">
        <v>61</v>
      </c>
      <c r="E5" s="4" t="s">
        <v>62</v>
      </c>
      <c r="F5" s="4" t="s">
        <v>63</v>
      </c>
      <c r="G5" s="4" t="s">
        <v>64</v>
      </c>
      <c r="H5" s="11"/>
      <c r="I5" s="4" t="s">
        <v>65</v>
      </c>
      <c r="J5" s="4" t="s">
        <v>66</v>
      </c>
      <c r="K5" s="4" t="s">
        <v>67</v>
      </c>
      <c r="L5" s="4" t="s">
        <v>68</v>
      </c>
      <c r="M5" s="4" t="s">
        <v>69</v>
      </c>
      <c r="N5" s="4" t="s">
        <v>70</v>
      </c>
      <c r="O5" s="12" t="s">
        <v>71</v>
      </c>
      <c r="P5" s="12" t="s">
        <v>72</v>
      </c>
      <c r="Q5" s="4" t="s">
        <v>72</v>
      </c>
      <c r="R5" s="4" t="s">
        <v>73</v>
      </c>
      <c r="S5" s="4" t="s">
        <v>73</v>
      </c>
      <c r="T5" s="4" t="s">
        <v>74</v>
      </c>
      <c r="U5" s="4" t="s">
        <v>75</v>
      </c>
      <c r="V5" s="13" t="s">
        <v>9</v>
      </c>
      <c r="W5" s="4" t="s">
        <v>76</v>
      </c>
      <c r="X5" s="4"/>
      <c r="Y5" s="4"/>
      <c r="Z5" s="4"/>
      <c r="AA5" s="4" t="s">
        <v>77</v>
      </c>
    </row>
    <row r="6" customFormat="false" ht="35.05" hidden="false" customHeight="false" outlineLevel="0" collapsed="false">
      <c r="A6" s="4" t="s">
        <v>78</v>
      </c>
      <c r="B6" s="4" t="s">
        <v>79</v>
      </c>
      <c r="C6" s="4" t="s">
        <v>12</v>
      </c>
      <c r="D6" s="4" t="s">
        <v>80</v>
      </c>
      <c r="E6" s="4" t="s">
        <v>62</v>
      </c>
      <c r="F6" s="4" t="s">
        <v>81</v>
      </c>
      <c r="G6" s="4" t="s">
        <v>82</v>
      </c>
      <c r="H6" s="11"/>
      <c r="I6" s="4" t="s">
        <v>83</v>
      </c>
      <c r="J6" s="4" t="s">
        <v>66</v>
      </c>
      <c r="K6" s="4" t="s">
        <v>84</v>
      </c>
      <c r="L6" s="4" t="s">
        <v>85</v>
      </c>
      <c r="M6" s="4" t="s">
        <v>86</v>
      </c>
      <c r="N6" s="4" t="s">
        <v>87</v>
      </c>
      <c r="O6" s="14" t="s">
        <v>88</v>
      </c>
      <c r="P6" s="15" t="s">
        <v>5</v>
      </c>
      <c r="Q6" s="4" t="s">
        <v>72</v>
      </c>
      <c r="R6" s="4" t="s">
        <v>74</v>
      </c>
      <c r="S6" s="4" t="s">
        <v>74</v>
      </c>
      <c r="T6" s="4" t="s">
        <v>74</v>
      </c>
      <c r="U6" s="4" t="s">
        <v>75</v>
      </c>
      <c r="V6" s="13" t="s">
        <v>9</v>
      </c>
      <c r="W6" s="4" t="s">
        <v>76</v>
      </c>
      <c r="X6" s="4"/>
      <c r="Y6" s="4"/>
      <c r="Z6" s="4"/>
      <c r="AA6" s="4" t="s">
        <v>89</v>
      </c>
    </row>
    <row r="7" customFormat="false" ht="35.05" hidden="false" customHeight="false" outlineLevel="0" collapsed="false">
      <c r="A7" s="4" t="s">
        <v>90</v>
      </c>
      <c r="B7" s="4" t="s">
        <v>91</v>
      </c>
      <c r="C7" s="4" t="s">
        <v>12</v>
      </c>
      <c r="D7" s="4" t="s">
        <v>92</v>
      </c>
      <c r="E7" s="4" t="s">
        <v>62</v>
      </c>
      <c r="F7" s="4" t="s">
        <v>81</v>
      </c>
      <c r="G7" s="4"/>
      <c r="H7" s="11"/>
      <c r="I7" s="4" t="s">
        <v>83</v>
      </c>
      <c r="J7" s="4" t="s">
        <v>66</v>
      </c>
      <c r="K7" s="4" t="s">
        <v>93</v>
      </c>
      <c r="L7" s="4" t="s">
        <v>94</v>
      </c>
      <c r="M7" s="4" t="s">
        <v>95</v>
      </c>
      <c r="N7" s="4" t="s">
        <v>96</v>
      </c>
      <c r="O7" s="16" t="s">
        <v>97</v>
      </c>
      <c r="P7" s="15" t="s">
        <v>5</v>
      </c>
      <c r="Q7" s="4" t="s">
        <v>5</v>
      </c>
      <c r="R7" s="4" t="s">
        <v>74</v>
      </c>
      <c r="S7" s="4" t="s">
        <v>74</v>
      </c>
      <c r="T7" s="4" t="s">
        <v>74</v>
      </c>
      <c r="U7" s="4" t="s">
        <v>98</v>
      </c>
      <c r="V7" s="13" t="s">
        <v>9</v>
      </c>
      <c r="W7" s="4" t="s">
        <v>76</v>
      </c>
      <c r="X7" s="4"/>
      <c r="Y7" s="4"/>
      <c r="Z7" s="4"/>
      <c r="AA7" s="4" t="s">
        <v>99</v>
      </c>
    </row>
    <row r="8" customFormat="false" ht="35.05" hidden="false" customHeight="false" outlineLevel="0" collapsed="false">
      <c r="A8" s="4" t="s">
        <v>100</v>
      </c>
      <c r="B8" s="4" t="s">
        <v>101</v>
      </c>
      <c r="C8" s="4" t="s">
        <v>12</v>
      </c>
      <c r="D8" s="4" t="s">
        <v>102</v>
      </c>
      <c r="E8" s="4" t="s">
        <v>62</v>
      </c>
      <c r="F8" s="4" t="s">
        <v>103</v>
      </c>
      <c r="G8" s="4"/>
      <c r="H8" s="11"/>
      <c r="I8" s="4" t="s">
        <v>65</v>
      </c>
      <c r="J8" s="4" t="s">
        <v>66</v>
      </c>
      <c r="K8" s="4" t="s">
        <v>104</v>
      </c>
      <c r="L8" s="4" t="s">
        <v>105</v>
      </c>
      <c r="M8" s="4" t="s">
        <v>106</v>
      </c>
      <c r="N8" s="4" t="s">
        <v>107</v>
      </c>
      <c r="O8" s="14" t="s">
        <v>88</v>
      </c>
      <c r="P8" s="15" t="s">
        <v>5</v>
      </c>
      <c r="Q8" s="4" t="s">
        <v>72</v>
      </c>
      <c r="R8" s="4" t="s">
        <v>74</v>
      </c>
      <c r="S8" s="4" t="s">
        <v>73</v>
      </c>
      <c r="T8" s="4" t="s">
        <v>74</v>
      </c>
      <c r="U8" s="4" t="s">
        <v>98</v>
      </c>
      <c r="V8" s="13" t="s">
        <v>9</v>
      </c>
      <c r="W8" s="4" t="s">
        <v>76</v>
      </c>
      <c r="X8" s="4"/>
      <c r="Y8" s="4"/>
      <c r="Z8" s="4"/>
      <c r="AA8" s="4" t="s">
        <v>108</v>
      </c>
    </row>
    <row r="9" customFormat="false" ht="23.85" hidden="false" customHeight="false" outlineLevel="0" collapsed="false">
      <c r="A9" s="4" t="s">
        <v>109</v>
      </c>
      <c r="B9" s="4" t="s">
        <v>110</v>
      </c>
      <c r="C9" s="4" t="s">
        <v>12</v>
      </c>
      <c r="D9" s="4" t="s">
        <v>111</v>
      </c>
      <c r="E9" s="4" t="s">
        <v>62</v>
      </c>
      <c r="F9" s="4" t="s">
        <v>112</v>
      </c>
      <c r="G9" s="4"/>
      <c r="H9" s="11"/>
      <c r="I9" s="4" t="s">
        <v>113</v>
      </c>
      <c r="J9" s="4" t="s">
        <v>66</v>
      </c>
      <c r="K9" s="4" t="s">
        <v>114</v>
      </c>
      <c r="L9" s="4" t="s">
        <v>115</v>
      </c>
      <c r="M9" s="4" t="s">
        <v>95</v>
      </c>
      <c r="N9" s="4" t="s">
        <v>116</v>
      </c>
      <c r="O9" s="12" t="s">
        <v>71</v>
      </c>
      <c r="P9" s="12" t="s">
        <v>72</v>
      </c>
      <c r="Q9" s="4" t="s">
        <v>72</v>
      </c>
      <c r="R9" s="4" t="s">
        <v>73</v>
      </c>
      <c r="S9" s="4" t="s">
        <v>73</v>
      </c>
      <c r="T9" s="4" t="s">
        <v>74</v>
      </c>
      <c r="U9" s="4" t="s">
        <v>98</v>
      </c>
      <c r="V9" s="13" t="s">
        <v>9</v>
      </c>
      <c r="W9" s="4" t="s">
        <v>76</v>
      </c>
      <c r="X9" s="4"/>
      <c r="Y9" s="4"/>
      <c r="Z9" s="4"/>
      <c r="AA9" s="4" t="s">
        <v>117</v>
      </c>
    </row>
    <row r="10" customFormat="false" ht="46.25" hidden="false" customHeight="false" outlineLevel="0" collapsed="false">
      <c r="A10" s="4" t="s">
        <v>118</v>
      </c>
      <c r="B10" s="4" t="s">
        <v>119</v>
      </c>
      <c r="C10" s="4" t="s">
        <v>12</v>
      </c>
      <c r="D10" s="4" t="s">
        <v>120</v>
      </c>
      <c r="E10" s="4" t="s">
        <v>62</v>
      </c>
      <c r="F10" s="4" t="s">
        <v>81</v>
      </c>
      <c r="G10" s="4" t="s">
        <v>82</v>
      </c>
      <c r="H10" s="11"/>
      <c r="I10" s="4" t="s">
        <v>83</v>
      </c>
      <c r="J10" s="4" t="s">
        <v>66</v>
      </c>
      <c r="K10" s="4" t="s">
        <v>121</v>
      </c>
      <c r="L10" s="4" t="s">
        <v>122</v>
      </c>
      <c r="M10" s="4" t="s">
        <v>123</v>
      </c>
      <c r="N10" s="4" t="s">
        <v>124</v>
      </c>
      <c r="O10" s="14" t="s">
        <v>88</v>
      </c>
      <c r="P10" s="12" t="s">
        <v>72</v>
      </c>
      <c r="Q10" s="4" t="s">
        <v>72</v>
      </c>
      <c r="R10" s="4" t="s">
        <v>73</v>
      </c>
      <c r="S10" s="4" t="s">
        <v>74</v>
      </c>
      <c r="T10" s="4" t="s">
        <v>74</v>
      </c>
      <c r="U10" s="4" t="s">
        <v>75</v>
      </c>
      <c r="V10" s="13" t="s">
        <v>9</v>
      </c>
      <c r="W10" s="4" t="s">
        <v>76</v>
      </c>
      <c r="X10" s="4"/>
      <c r="Y10" s="4"/>
      <c r="Z10" s="4"/>
      <c r="AA10" s="4" t="s">
        <v>125</v>
      </c>
    </row>
    <row r="11" customFormat="false" ht="57.45" hidden="false" customHeight="false" outlineLevel="0" collapsed="false">
      <c r="A11" s="4" t="s">
        <v>126</v>
      </c>
      <c r="B11" s="4" t="s">
        <v>127</v>
      </c>
      <c r="C11" s="4" t="s">
        <v>12</v>
      </c>
      <c r="D11" s="4" t="s">
        <v>128</v>
      </c>
      <c r="E11" s="4" t="s">
        <v>62</v>
      </c>
      <c r="F11" s="4" t="s">
        <v>129</v>
      </c>
      <c r="G11" s="4" t="s">
        <v>82</v>
      </c>
      <c r="H11" s="11"/>
      <c r="I11" s="4" t="s">
        <v>130</v>
      </c>
      <c r="J11" s="4" t="s">
        <v>131</v>
      </c>
      <c r="K11" s="4" t="s">
        <v>132</v>
      </c>
      <c r="L11" s="4" t="s">
        <v>133</v>
      </c>
      <c r="M11" s="4" t="s">
        <v>134</v>
      </c>
      <c r="N11" s="4" t="s">
        <v>135</v>
      </c>
      <c r="O11" s="14" t="s">
        <v>88</v>
      </c>
      <c r="P11" s="15" t="s">
        <v>5</v>
      </c>
      <c r="Q11" s="4" t="s">
        <v>72</v>
      </c>
      <c r="R11" s="4" t="s">
        <v>74</v>
      </c>
      <c r="S11" s="4" t="s">
        <v>74</v>
      </c>
      <c r="T11" s="4" t="s">
        <v>74</v>
      </c>
      <c r="U11" s="4" t="s">
        <v>75</v>
      </c>
      <c r="V11" s="13" t="s">
        <v>9</v>
      </c>
      <c r="W11" s="4" t="s">
        <v>76</v>
      </c>
      <c r="X11" s="4" t="s">
        <v>136</v>
      </c>
      <c r="Y11" s="4"/>
      <c r="Z11" s="4"/>
      <c r="AA11" s="4" t="s">
        <v>137</v>
      </c>
    </row>
    <row r="12" customFormat="false" ht="57.45" hidden="false" customHeight="false" outlineLevel="0" collapsed="false">
      <c r="A12" s="4" t="s">
        <v>138</v>
      </c>
      <c r="B12" s="4" t="s">
        <v>139</v>
      </c>
      <c r="C12" s="4" t="s">
        <v>12</v>
      </c>
      <c r="D12" s="4" t="s">
        <v>140</v>
      </c>
      <c r="E12" s="4" t="s">
        <v>62</v>
      </c>
      <c r="F12" s="4" t="s">
        <v>141</v>
      </c>
      <c r="G12" s="4" t="s">
        <v>142</v>
      </c>
      <c r="H12" s="11"/>
      <c r="I12" s="4" t="s">
        <v>83</v>
      </c>
      <c r="J12" s="4" t="s">
        <v>66</v>
      </c>
      <c r="K12" s="4" t="s">
        <v>143</v>
      </c>
      <c r="L12" s="4" t="s">
        <v>144</v>
      </c>
      <c r="M12" s="4" t="s">
        <v>145</v>
      </c>
      <c r="N12" s="4" t="s">
        <v>146</v>
      </c>
      <c r="O12" s="16" t="s">
        <v>97</v>
      </c>
      <c r="P12" s="15" t="s">
        <v>5</v>
      </c>
      <c r="Q12" s="4" t="s">
        <v>5</v>
      </c>
      <c r="R12" s="4" t="s">
        <v>74</v>
      </c>
      <c r="S12" s="4" t="s">
        <v>74</v>
      </c>
      <c r="T12" s="4" t="s">
        <v>74</v>
      </c>
      <c r="U12" s="4" t="s">
        <v>75</v>
      </c>
      <c r="V12" s="13" t="s">
        <v>9</v>
      </c>
      <c r="W12" s="4" t="s">
        <v>76</v>
      </c>
      <c r="X12" s="4" t="s">
        <v>147</v>
      </c>
      <c r="Y12" s="4" t="s">
        <v>148</v>
      </c>
      <c r="Z12" s="4"/>
      <c r="AA12" s="4" t="s">
        <v>89</v>
      </c>
    </row>
    <row r="13" customFormat="false" ht="46.25" hidden="false" customHeight="false" outlineLevel="0" collapsed="false">
      <c r="A13" s="4" t="s">
        <v>149</v>
      </c>
      <c r="B13" s="4" t="s">
        <v>150</v>
      </c>
      <c r="C13" s="4" t="s">
        <v>12</v>
      </c>
      <c r="D13" s="4" t="s">
        <v>151</v>
      </c>
      <c r="E13" s="4" t="s">
        <v>152</v>
      </c>
      <c r="F13" s="4" t="s">
        <v>63</v>
      </c>
      <c r="G13" s="4"/>
      <c r="H13" s="11"/>
      <c r="I13" s="4" t="s">
        <v>65</v>
      </c>
      <c r="J13" s="4" t="s">
        <v>66</v>
      </c>
      <c r="K13" s="4" t="s">
        <v>153</v>
      </c>
      <c r="L13" s="4" t="s">
        <v>154</v>
      </c>
      <c r="M13" s="4" t="s">
        <v>155</v>
      </c>
      <c r="N13" s="4" t="s">
        <v>156</v>
      </c>
      <c r="O13" s="14" t="s">
        <v>88</v>
      </c>
      <c r="P13" s="15" t="s">
        <v>5</v>
      </c>
      <c r="Q13" s="4" t="s">
        <v>5</v>
      </c>
      <c r="R13" s="4" t="s">
        <v>74</v>
      </c>
      <c r="S13" s="4" t="s">
        <v>74</v>
      </c>
      <c r="T13" s="4" t="s">
        <v>74</v>
      </c>
      <c r="U13" s="4" t="s">
        <v>98</v>
      </c>
      <c r="V13" s="13" t="s">
        <v>9</v>
      </c>
      <c r="W13" s="4" t="s">
        <v>76</v>
      </c>
      <c r="X13" s="4" t="s">
        <v>157</v>
      </c>
      <c r="Y13" s="4" t="s">
        <v>158</v>
      </c>
      <c r="Z13" s="4"/>
      <c r="AA13" s="4" t="s">
        <v>99</v>
      </c>
    </row>
    <row r="14" customFormat="false" ht="35.05" hidden="false" customHeight="false" outlineLevel="0" collapsed="false">
      <c r="A14" s="4" t="s">
        <v>159</v>
      </c>
      <c r="B14" s="4" t="s">
        <v>160</v>
      </c>
      <c r="C14" s="4" t="s">
        <v>12</v>
      </c>
      <c r="D14" s="4" t="s">
        <v>161</v>
      </c>
      <c r="E14" s="4" t="s">
        <v>152</v>
      </c>
      <c r="F14" s="4" t="s">
        <v>103</v>
      </c>
      <c r="G14" s="4"/>
      <c r="H14" s="11"/>
      <c r="I14" s="4" t="s">
        <v>130</v>
      </c>
      <c r="J14" s="4" t="s">
        <v>66</v>
      </c>
      <c r="K14" s="4" t="s">
        <v>104</v>
      </c>
      <c r="L14" s="4" t="s">
        <v>162</v>
      </c>
      <c r="M14" s="4" t="s">
        <v>163</v>
      </c>
      <c r="N14" s="4" t="s">
        <v>164</v>
      </c>
      <c r="O14" s="14" t="s">
        <v>88</v>
      </c>
      <c r="P14" s="15" t="s">
        <v>5</v>
      </c>
      <c r="Q14" s="4" t="s">
        <v>5</v>
      </c>
      <c r="R14" s="4" t="s">
        <v>74</v>
      </c>
      <c r="S14" s="4" t="s">
        <v>74</v>
      </c>
      <c r="T14" s="4" t="s">
        <v>74</v>
      </c>
      <c r="U14" s="4" t="s">
        <v>98</v>
      </c>
      <c r="V14" s="13" t="s">
        <v>9</v>
      </c>
      <c r="W14" s="4" t="s">
        <v>76</v>
      </c>
      <c r="X14" s="4" t="s">
        <v>165</v>
      </c>
      <c r="Y14" s="4" t="s">
        <v>166</v>
      </c>
      <c r="Z14" s="4"/>
      <c r="AA14" s="4" t="s">
        <v>99</v>
      </c>
    </row>
    <row r="15" customFormat="false" ht="46.25" hidden="false" customHeight="false" outlineLevel="0" collapsed="false">
      <c r="A15" s="4" t="s">
        <v>167</v>
      </c>
      <c r="B15" s="4" t="s">
        <v>168</v>
      </c>
      <c r="C15" s="4" t="s">
        <v>12</v>
      </c>
      <c r="D15" s="4" t="s">
        <v>169</v>
      </c>
      <c r="E15" s="4" t="s">
        <v>152</v>
      </c>
      <c r="F15" s="4" t="s">
        <v>141</v>
      </c>
      <c r="G15" s="4"/>
      <c r="H15" s="11"/>
      <c r="I15" s="4" t="s">
        <v>65</v>
      </c>
      <c r="J15" s="4" t="s">
        <v>66</v>
      </c>
      <c r="K15" s="4" t="s">
        <v>93</v>
      </c>
      <c r="L15" s="4" t="s">
        <v>170</v>
      </c>
      <c r="M15" s="4" t="s">
        <v>69</v>
      </c>
      <c r="N15" s="4" t="s">
        <v>171</v>
      </c>
      <c r="O15" s="13" t="s">
        <v>172</v>
      </c>
      <c r="P15" s="15" t="s">
        <v>6</v>
      </c>
      <c r="Q15" s="4" t="s">
        <v>6</v>
      </c>
      <c r="R15" s="4" t="s">
        <v>74</v>
      </c>
      <c r="S15" s="4" t="s">
        <v>74</v>
      </c>
      <c r="T15" s="4" t="s">
        <v>74</v>
      </c>
      <c r="U15" s="4" t="s">
        <v>98</v>
      </c>
      <c r="V15" s="13" t="s">
        <v>9</v>
      </c>
      <c r="W15" s="4" t="s">
        <v>76</v>
      </c>
      <c r="X15" s="4"/>
      <c r="Y15" s="4"/>
      <c r="Z15" s="4"/>
      <c r="AA15" s="4" t="s">
        <v>173</v>
      </c>
    </row>
    <row r="16" customFormat="false" ht="35.05" hidden="false" customHeight="false" outlineLevel="0" collapsed="false">
      <c r="A16" s="4" t="s">
        <v>174</v>
      </c>
      <c r="B16" s="4" t="s">
        <v>175</v>
      </c>
      <c r="C16" s="4" t="s">
        <v>12</v>
      </c>
      <c r="D16" s="4" t="s">
        <v>176</v>
      </c>
      <c r="E16" s="4" t="s">
        <v>177</v>
      </c>
      <c r="F16" s="4" t="s">
        <v>141</v>
      </c>
      <c r="G16" s="4"/>
      <c r="H16" s="11"/>
      <c r="I16" s="4" t="s">
        <v>83</v>
      </c>
      <c r="J16" s="4" t="s">
        <v>66</v>
      </c>
      <c r="K16" s="4" t="s">
        <v>143</v>
      </c>
      <c r="L16" s="4" t="s">
        <v>178</v>
      </c>
      <c r="M16" s="4" t="s">
        <v>179</v>
      </c>
      <c r="N16" s="4" t="s">
        <v>180</v>
      </c>
      <c r="O16" s="14" t="s">
        <v>88</v>
      </c>
      <c r="P16" s="15" t="s">
        <v>5</v>
      </c>
      <c r="Q16" s="4" t="s">
        <v>5</v>
      </c>
      <c r="R16" s="4" t="s">
        <v>74</v>
      </c>
      <c r="S16" s="4" t="s">
        <v>74</v>
      </c>
      <c r="T16" s="4" t="s">
        <v>74</v>
      </c>
      <c r="U16" s="4" t="s">
        <v>98</v>
      </c>
      <c r="V16" s="13" t="s">
        <v>9</v>
      </c>
      <c r="W16" s="4" t="s">
        <v>76</v>
      </c>
      <c r="X16" s="4" t="s">
        <v>181</v>
      </c>
      <c r="Y16" s="4" t="s">
        <v>182</v>
      </c>
      <c r="Z16" s="4"/>
      <c r="AA16" s="4" t="s">
        <v>99</v>
      </c>
    </row>
    <row r="17" customFormat="false" ht="46.25" hidden="false" customHeight="false" outlineLevel="0" collapsed="false">
      <c r="A17" s="4" t="s">
        <v>183</v>
      </c>
      <c r="B17" s="4" t="s">
        <v>184</v>
      </c>
      <c r="C17" s="4" t="s">
        <v>12</v>
      </c>
      <c r="D17" s="4" t="s">
        <v>185</v>
      </c>
      <c r="E17" s="4" t="s">
        <v>177</v>
      </c>
      <c r="F17" s="4" t="s">
        <v>141</v>
      </c>
      <c r="G17" s="4" t="s">
        <v>142</v>
      </c>
      <c r="H17" s="11"/>
      <c r="I17" s="4" t="s">
        <v>83</v>
      </c>
      <c r="J17" s="4" t="s">
        <v>66</v>
      </c>
      <c r="K17" s="4" t="s">
        <v>186</v>
      </c>
      <c r="L17" s="4" t="s">
        <v>187</v>
      </c>
      <c r="M17" s="4" t="s">
        <v>188</v>
      </c>
      <c r="N17" s="4" t="s">
        <v>189</v>
      </c>
      <c r="O17" s="16" t="s">
        <v>97</v>
      </c>
      <c r="P17" s="15" t="s">
        <v>5</v>
      </c>
      <c r="Q17" s="4" t="s">
        <v>5</v>
      </c>
      <c r="R17" s="4" t="s">
        <v>74</v>
      </c>
      <c r="S17" s="4" t="s">
        <v>74</v>
      </c>
      <c r="T17" s="4" t="s">
        <v>74</v>
      </c>
      <c r="U17" s="4" t="s">
        <v>75</v>
      </c>
      <c r="V17" s="13" t="s">
        <v>9</v>
      </c>
      <c r="W17" s="4" t="s">
        <v>76</v>
      </c>
      <c r="X17" s="4" t="s">
        <v>190</v>
      </c>
      <c r="Y17" s="4"/>
      <c r="Z17" s="4"/>
      <c r="AA17" s="4" t="s">
        <v>89</v>
      </c>
    </row>
    <row r="18" customFormat="false" ht="23.85" hidden="false" customHeight="false" outlineLevel="0" collapsed="false">
      <c r="A18" s="4" t="s">
        <v>191</v>
      </c>
      <c r="B18" s="4" t="s">
        <v>192</v>
      </c>
      <c r="C18" s="4" t="s">
        <v>13</v>
      </c>
      <c r="D18" s="4" t="s">
        <v>193</v>
      </c>
      <c r="E18" s="4" t="s">
        <v>62</v>
      </c>
      <c r="F18" s="4" t="s">
        <v>194</v>
      </c>
      <c r="G18" s="4"/>
      <c r="H18" s="11"/>
      <c r="I18" s="4" t="s">
        <v>65</v>
      </c>
      <c r="J18" s="4" t="s">
        <v>66</v>
      </c>
      <c r="K18" s="4" t="s">
        <v>104</v>
      </c>
      <c r="L18" s="4" t="s">
        <v>195</v>
      </c>
      <c r="M18" s="4" t="s">
        <v>106</v>
      </c>
      <c r="N18" s="4" t="s">
        <v>196</v>
      </c>
      <c r="O18" s="14" t="s">
        <v>88</v>
      </c>
      <c r="P18" s="15" t="s">
        <v>5</v>
      </c>
      <c r="Q18" s="4" t="s">
        <v>72</v>
      </c>
      <c r="R18" s="4" t="s">
        <v>74</v>
      </c>
      <c r="S18" s="4" t="s">
        <v>73</v>
      </c>
      <c r="T18" s="4" t="s">
        <v>74</v>
      </c>
      <c r="U18" s="4" t="s">
        <v>98</v>
      </c>
      <c r="V18" s="13" t="s">
        <v>9</v>
      </c>
      <c r="W18" s="4" t="s">
        <v>197</v>
      </c>
      <c r="X18" s="4"/>
      <c r="Y18" s="4"/>
      <c r="Z18" s="4"/>
      <c r="AA18" s="4" t="s">
        <v>198</v>
      </c>
    </row>
    <row r="19" customFormat="false" ht="35.05" hidden="false" customHeight="false" outlineLevel="0" collapsed="false">
      <c r="A19" s="4" t="s">
        <v>199</v>
      </c>
      <c r="B19" s="4" t="s">
        <v>200</v>
      </c>
      <c r="C19" s="4" t="s">
        <v>13</v>
      </c>
      <c r="D19" s="4" t="s">
        <v>201</v>
      </c>
      <c r="E19" s="4" t="s">
        <v>62</v>
      </c>
      <c r="F19" s="4" t="s">
        <v>202</v>
      </c>
      <c r="G19" s="4"/>
      <c r="H19" s="11"/>
      <c r="I19" s="4" t="s">
        <v>113</v>
      </c>
      <c r="J19" s="4" t="s">
        <v>131</v>
      </c>
      <c r="K19" s="4" t="s">
        <v>203</v>
      </c>
      <c r="L19" s="4" t="s">
        <v>204</v>
      </c>
      <c r="M19" s="4" t="s">
        <v>205</v>
      </c>
      <c r="N19" s="4" t="s">
        <v>206</v>
      </c>
      <c r="O19" s="12" t="s">
        <v>71</v>
      </c>
      <c r="P19" s="12" t="s">
        <v>72</v>
      </c>
      <c r="Q19" s="4" t="s">
        <v>72</v>
      </c>
      <c r="R19" s="4" t="s">
        <v>73</v>
      </c>
      <c r="S19" s="4" t="s">
        <v>74</v>
      </c>
      <c r="T19" s="4" t="s">
        <v>74</v>
      </c>
      <c r="U19" s="4" t="s">
        <v>98</v>
      </c>
      <c r="V19" s="13" t="s">
        <v>9</v>
      </c>
      <c r="W19" s="4" t="s">
        <v>197</v>
      </c>
      <c r="X19" s="4" t="s">
        <v>207</v>
      </c>
      <c r="Y19" s="4" t="s">
        <v>208</v>
      </c>
      <c r="Z19" s="4"/>
      <c r="AA19" s="4" t="s">
        <v>209</v>
      </c>
    </row>
    <row r="20" customFormat="false" ht="23.85" hidden="false" customHeight="false" outlineLevel="0" collapsed="false">
      <c r="A20" s="4" t="s">
        <v>210</v>
      </c>
      <c r="B20" s="4" t="s">
        <v>211</v>
      </c>
      <c r="C20" s="4" t="s">
        <v>13</v>
      </c>
      <c r="D20" s="4" t="s">
        <v>212</v>
      </c>
      <c r="E20" s="4" t="s">
        <v>62</v>
      </c>
      <c r="F20" s="4" t="s">
        <v>194</v>
      </c>
      <c r="G20" s="4"/>
      <c r="H20" s="11"/>
      <c r="I20" s="4" t="s">
        <v>65</v>
      </c>
      <c r="J20" s="4" t="s">
        <v>66</v>
      </c>
      <c r="K20" s="4" t="s">
        <v>213</v>
      </c>
      <c r="L20" s="4" t="s">
        <v>214</v>
      </c>
      <c r="M20" s="4" t="s">
        <v>215</v>
      </c>
      <c r="N20" s="4" t="s">
        <v>216</v>
      </c>
      <c r="O20" s="13" t="s">
        <v>172</v>
      </c>
      <c r="P20" s="15" t="s">
        <v>6</v>
      </c>
      <c r="Q20" s="4" t="s">
        <v>6</v>
      </c>
      <c r="R20" s="4" t="s">
        <v>74</v>
      </c>
      <c r="S20" s="4" t="s">
        <v>74</v>
      </c>
      <c r="T20" s="4" t="s">
        <v>74</v>
      </c>
      <c r="U20" s="4" t="s">
        <v>98</v>
      </c>
      <c r="V20" s="13" t="s">
        <v>9</v>
      </c>
      <c r="W20" s="4" t="s">
        <v>197</v>
      </c>
      <c r="X20" s="4" t="s">
        <v>217</v>
      </c>
      <c r="Y20" s="4" t="s">
        <v>208</v>
      </c>
      <c r="Z20" s="4"/>
      <c r="AA20" s="4" t="s">
        <v>218</v>
      </c>
    </row>
    <row r="21" customFormat="false" ht="57.45" hidden="false" customHeight="false" outlineLevel="0" collapsed="false">
      <c r="A21" s="4" t="s">
        <v>219</v>
      </c>
      <c r="B21" s="4" t="s">
        <v>220</v>
      </c>
      <c r="C21" s="4" t="s">
        <v>13</v>
      </c>
      <c r="D21" s="4" t="s">
        <v>221</v>
      </c>
      <c r="E21" s="4" t="s">
        <v>62</v>
      </c>
      <c r="F21" s="4" t="s">
        <v>222</v>
      </c>
      <c r="G21" s="4" t="s">
        <v>223</v>
      </c>
      <c r="H21" s="11"/>
      <c r="I21" s="4" t="s">
        <v>65</v>
      </c>
      <c r="J21" s="4" t="s">
        <v>66</v>
      </c>
      <c r="K21" s="4" t="s">
        <v>224</v>
      </c>
      <c r="L21" s="4" t="s">
        <v>225</v>
      </c>
      <c r="M21" s="4" t="s">
        <v>106</v>
      </c>
      <c r="N21" s="4" t="s">
        <v>226</v>
      </c>
      <c r="O21" s="14" t="s">
        <v>88</v>
      </c>
      <c r="P21" s="15" t="s">
        <v>5</v>
      </c>
      <c r="Q21" s="4" t="s">
        <v>5</v>
      </c>
      <c r="R21" s="4" t="s">
        <v>74</v>
      </c>
      <c r="S21" s="4" t="s">
        <v>74</v>
      </c>
      <c r="T21" s="4" t="s">
        <v>74</v>
      </c>
      <c r="U21" s="4" t="s">
        <v>75</v>
      </c>
      <c r="V21" s="13" t="s">
        <v>9</v>
      </c>
      <c r="W21" s="4" t="s">
        <v>197</v>
      </c>
      <c r="X21" s="4"/>
      <c r="Y21" s="4"/>
      <c r="Z21" s="4"/>
      <c r="AA21" s="4" t="s">
        <v>227</v>
      </c>
    </row>
    <row r="22" customFormat="false" ht="46.25" hidden="false" customHeight="false" outlineLevel="0" collapsed="false">
      <c r="A22" s="4" t="s">
        <v>228</v>
      </c>
      <c r="B22" s="4" t="s">
        <v>229</v>
      </c>
      <c r="C22" s="4" t="s">
        <v>13</v>
      </c>
      <c r="D22" s="4" t="s">
        <v>230</v>
      </c>
      <c r="E22" s="4" t="s">
        <v>62</v>
      </c>
      <c r="F22" s="4" t="s">
        <v>194</v>
      </c>
      <c r="G22" s="4"/>
      <c r="H22" s="11"/>
      <c r="I22" s="4" t="s">
        <v>65</v>
      </c>
      <c r="J22" s="4" t="s">
        <v>66</v>
      </c>
      <c r="K22" s="4" t="s">
        <v>104</v>
      </c>
      <c r="L22" s="4" t="s">
        <v>231</v>
      </c>
      <c r="M22" s="4" t="s">
        <v>106</v>
      </c>
      <c r="N22" s="4" t="s">
        <v>232</v>
      </c>
      <c r="O22" s="16" t="s">
        <v>97</v>
      </c>
      <c r="P22" s="15" t="s">
        <v>5</v>
      </c>
      <c r="Q22" s="4" t="s">
        <v>5</v>
      </c>
      <c r="R22" s="4" t="s">
        <v>74</v>
      </c>
      <c r="S22" s="4" t="s">
        <v>74</v>
      </c>
      <c r="T22" s="4" t="s">
        <v>74</v>
      </c>
      <c r="U22" s="4" t="s">
        <v>98</v>
      </c>
      <c r="V22" s="13" t="s">
        <v>9</v>
      </c>
      <c r="W22" s="4" t="s">
        <v>197</v>
      </c>
      <c r="X22" s="4"/>
      <c r="Y22" s="4"/>
      <c r="Z22" s="4"/>
      <c r="AA22" s="4" t="s">
        <v>233</v>
      </c>
    </row>
    <row r="23" customFormat="false" ht="35.05" hidden="false" customHeight="false" outlineLevel="0" collapsed="false">
      <c r="A23" s="4" t="s">
        <v>234</v>
      </c>
      <c r="B23" s="4" t="s">
        <v>235</v>
      </c>
      <c r="C23" s="4" t="s">
        <v>13</v>
      </c>
      <c r="D23" s="4" t="s">
        <v>236</v>
      </c>
      <c r="E23" s="4" t="s">
        <v>62</v>
      </c>
      <c r="F23" s="4" t="s">
        <v>194</v>
      </c>
      <c r="G23" s="4" t="s">
        <v>237</v>
      </c>
      <c r="H23" s="11"/>
      <c r="I23" s="4" t="s">
        <v>238</v>
      </c>
      <c r="J23" s="4" t="s">
        <v>131</v>
      </c>
      <c r="K23" s="4" t="s">
        <v>104</v>
      </c>
      <c r="L23" s="4" t="s">
        <v>239</v>
      </c>
      <c r="M23" s="4" t="s">
        <v>106</v>
      </c>
      <c r="N23" s="4" t="s">
        <v>240</v>
      </c>
      <c r="O23" s="14" t="s">
        <v>88</v>
      </c>
      <c r="P23" s="15" t="s">
        <v>5</v>
      </c>
      <c r="Q23" s="4" t="s">
        <v>72</v>
      </c>
      <c r="R23" s="4" t="s">
        <v>74</v>
      </c>
      <c r="S23" s="4" t="s">
        <v>74</v>
      </c>
      <c r="T23" s="4" t="s">
        <v>74</v>
      </c>
      <c r="U23" s="4" t="s">
        <v>241</v>
      </c>
      <c r="V23" s="13" t="s">
        <v>9</v>
      </c>
      <c r="W23" s="4" t="s">
        <v>242</v>
      </c>
      <c r="X23" s="4"/>
      <c r="Y23" s="4"/>
      <c r="Z23" s="4"/>
      <c r="AA23" s="4" t="s">
        <v>243</v>
      </c>
    </row>
    <row r="24" customFormat="false" ht="35.05" hidden="false" customHeight="false" outlineLevel="0" collapsed="false">
      <c r="A24" s="4" t="s">
        <v>244</v>
      </c>
      <c r="B24" s="4" t="s">
        <v>245</v>
      </c>
      <c r="C24" s="4" t="s">
        <v>13</v>
      </c>
      <c r="D24" s="4" t="s">
        <v>246</v>
      </c>
      <c r="E24" s="4" t="s">
        <v>152</v>
      </c>
      <c r="F24" s="4" t="s">
        <v>194</v>
      </c>
      <c r="G24" s="4"/>
      <c r="H24" s="11"/>
      <c r="I24" s="4" t="s">
        <v>65</v>
      </c>
      <c r="J24" s="4" t="s">
        <v>66</v>
      </c>
      <c r="K24" s="4" t="s">
        <v>247</v>
      </c>
      <c r="L24" s="4" t="s">
        <v>248</v>
      </c>
      <c r="M24" s="4" t="s">
        <v>106</v>
      </c>
      <c r="N24" s="4" t="s">
        <v>249</v>
      </c>
      <c r="O24" s="13" t="s">
        <v>172</v>
      </c>
      <c r="P24" s="15" t="s">
        <v>6</v>
      </c>
      <c r="Q24" s="4" t="s">
        <v>6</v>
      </c>
      <c r="R24" s="4" t="s">
        <v>74</v>
      </c>
      <c r="S24" s="4" t="s">
        <v>74</v>
      </c>
      <c r="T24" s="4" t="s">
        <v>74</v>
      </c>
      <c r="U24" s="4" t="s">
        <v>98</v>
      </c>
      <c r="V24" s="13" t="s">
        <v>9</v>
      </c>
      <c r="W24" s="4" t="s">
        <v>197</v>
      </c>
      <c r="X24" s="4"/>
      <c r="Y24" s="4"/>
      <c r="Z24" s="4"/>
      <c r="AA24" s="4" t="s">
        <v>218</v>
      </c>
    </row>
    <row r="25" customFormat="false" ht="35.05" hidden="false" customHeight="false" outlineLevel="0" collapsed="false">
      <c r="A25" s="4" t="s">
        <v>250</v>
      </c>
      <c r="B25" s="4" t="s">
        <v>251</v>
      </c>
      <c r="C25" s="4" t="s">
        <v>14</v>
      </c>
      <c r="D25" s="4" t="s">
        <v>252</v>
      </c>
      <c r="E25" s="4" t="s">
        <v>62</v>
      </c>
      <c r="F25" s="4" t="s">
        <v>253</v>
      </c>
      <c r="G25" s="4"/>
      <c r="H25" s="11"/>
      <c r="I25" s="4" t="s">
        <v>65</v>
      </c>
      <c r="J25" s="4" t="s">
        <v>66</v>
      </c>
      <c r="K25" s="4" t="s">
        <v>254</v>
      </c>
      <c r="L25" s="4" t="s">
        <v>255</v>
      </c>
      <c r="M25" s="4" t="s">
        <v>106</v>
      </c>
      <c r="N25" s="4" t="s">
        <v>256</v>
      </c>
      <c r="O25" s="12" t="s">
        <v>71</v>
      </c>
      <c r="P25" s="15" t="s">
        <v>5</v>
      </c>
      <c r="Q25" s="4" t="s">
        <v>72</v>
      </c>
      <c r="R25" s="4" t="s">
        <v>74</v>
      </c>
      <c r="S25" s="4" t="s">
        <v>73</v>
      </c>
      <c r="T25" s="4" t="s">
        <v>74</v>
      </c>
      <c r="U25" s="4" t="s">
        <v>98</v>
      </c>
      <c r="V25" s="13" t="s">
        <v>9</v>
      </c>
      <c r="W25" s="4" t="s">
        <v>257</v>
      </c>
      <c r="X25" s="4"/>
      <c r="Y25" s="4"/>
      <c r="Z25" s="4"/>
      <c r="AA25" s="4" t="s">
        <v>258</v>
      </c>
    </row>
    <row r="26" customFormat="false" ht="35.05" hidden="false" customHeight="false" outlineLevel="0" collapsed="false">
      <c r="A26" s="4" t="s">
        <v>259</v>
      </c>
      <c r="B26" s="4" t="s">
        <v>260</v>
      </c>
      <c r="C26" s="4" t="s">
        <v>14</v>
      </c>
      <c r="D26" s="4" t="s">
        <v>261</v>
      </c>
      <c r="E26" s="4" t="s">
        <v>62</v>
      </c>
      <c r="F26" s="4" t="s">
        <v>253</v>
      </c>
      <c r="G26" s="4"/>
      <c r="H26" s="11"/>
      <c r="I26" s="4" t="s">
        <v>83</v>
      </c>
      <c r="J26" s="4" t="s">
        <v>66</v>
      </c>
      <c r="K26" s="4" t="s">
        <v>254</v>
      </c>
      <c r="L26" s="4" t="s">
        <v>262</v>
      </c>
      <c r="M26" s="4" t="s">
        <v>95</v>
      </c>
      <c r="N26" s="4" t="s">
        <v>263</v>
      </c>
      <c r="O26" s="16" t="s">
        <v>97</v>
      </c>
      <c r="P26" s="15" t="s">
        <v>5</v>
      </c>
      <c r="Q26" s="4" t="s">
        <v>5</v>
      </c>
      <c r="R26" s="4" t="s">
        <v>74</v>
      </c>
      <c r="S26" s="4" t="s">
        <v>74</v>
      </c>
      <c r="T26" s="4" t="s">
        <v>74</v>
      </c>
      <c r="U26" s="4" t="s">
        <v>98</v>
      </c>
      <c r="V26" s="13" t="s">
        <v>9</v>
      </c>
      <c r="W26" s="4" t="s">
        <v>257</v>
      </c>
      <c r="X26" s="4"/>
      <c r="Y26" s="4"/>
      <c r="Z26" s="4"/>
      <c r="AA26" s="4" t="s">
        <v>264</v>
      </c>
    </row>
    <row r="27" customFormat="false" ht="35.05" hidden="false" customHeight="false" outlineLevel="0" collapsed="false">
      <c r="A27" s="4" t="s">
        <v>265</v>
      </c>
      <c r="B27" s="4" t="s">
        <v>266</v>
      </c>
      <c r="C27" s="4" t="s">
        <v>14</v>
      </c>
      <c r="D27" s="4" t="s">
        <v>267</v>
      </c>
      <c r="E27" s="4" t="s">
        <v>62</v>
      </c>
      <c r="F27" s="4" t="s">
        <v>253</v>
      </c>
      <c r="G27" s="4" t="s">
        <v>268</v>
      </c>
      <c r="H27" s="11"/>
      <c r="I27" s="4" t="s">
        <v>130</v>
      </c>
      <c r="J27" s="4" t="s">
        <v>131</v>
      </c>
      <c r="K27" s="4" t="s">
        <v>254</v>
      </c>
      <c r="L27" s="4" t="s">
        <v>269</v>
      </c>
      <c r="M27" s="4" t="s">
        <v>270</v>
      </c>
      <c r="N27" s="4" t="s">
        <v>271</v>
      </c>
      <c r="O27" s="14" t="s">
        <v>88</v>
      </c>
      <c r="P27" s="15" t="s">
        <v>5</v>
      </c>
      <c r="Q27" s="4" t="s">
        <v>72</v>
      </c>
      <c r="R27" s="4" t="s">
        <v>74</v>
      </c>
      <c r="S27" s="4" t="s">
        <v>74</v>
      </c>
      <c r="T27" s="4" t="s">
        <v>74</v>
      </c>
      <c r="U27" s="4" t="s">
        <v>75</v>
      </c>
      <c r="V27" s="13" t="s">
        <v>9</v>
      </c>
      <c r="W27" s="4" t="s">
        <v>257</v>
      </c>
      <c r="X27" s="4"/>
      <c r="Y27" s="4"/>
      <c r="Z27" s="4"/>
      <c r="AA27" s="4" t="s">
        <v>272</v>
      </c>
    </row>
    <row r="28" customFormat="false" ht="35.05" hidden="false" customHeight="false" outlineLevel="0" collapsed="false">
      <c r="A28" s="4" t="s">
        <v>273</v>
      </c>
      <c r="B28" s="4" t="s">
        <v>274</v>
      </c>
      <c r="C28" s="4" t="s">
        <v>14</v>
      </c>
      <c r="D28" s="4" t="s">
        <v>275</v>
      </c>
      <c r="E28" s="4" t="s">
        <v>62</v>
      </c>
      <c r="F28" s="4" t="s">
        <v>253</v>
      </c>
      <c r="G28" s="4" t="s">
        <v>268</v>
      </c>
      <c r="H28" s="11"/>
      <c r="I28" s="4" t="s">
        <v>130</v>
      </c>
      <c r="J28" s="4" t="s">
        <v>131</v>
      </c>
      <c r="K28" s="4" t="s">
        <v>254</v>
      </c>
      <c r="L28" s="4" t="s">
        <v>276</v>
      </c>
      <c r="M28" s="4" t="s">
        <v>277</v>
      </c>
      <c r="N28" s="4" t="s">
        <v>278</v>
      </c>
      <c r="O28" s="14" t="s">
        <v>88</v>
      </c>
      <c r="P28" s="15" t="s">
        <v>5</v>
      </c>
      <c r="Q28" s="4" t="s">
        <v>72</v>
      </c>
      <c r="R28" s="4" t="s">
        <v>74</v>
      </c>
      <c r="S28" s="4" t="s">
        <v>74</v>
      </c>
      <c r="T28" s="4" t="s">
        <v>74</v>
      </c>
      <c r="U28" s="4" t="s">
        <v>75</v>
      </c>
      <c r="V28" s="13" t="s">
        <v>9</v>
      </c>
      <c r="W28" s="4" t="s">
        <v>257</v>
      </c>
      <c r="X28" s="4"/>
      <c r="Y28" s="4"/>
      <c r="Z28" s="4"/>
      <c r="AA28" s="4" t="s">
        <v>272</v>
      </c>
    </row>
    <row r="29" customFormat="false" ht="35.05" hidden="false" customHeight="false" outlineLevel="0" collapsed="false">
      <c r="A29" s="4" t="s">
        <v>279</v>
      </c>
      <c r="B29" s="4" t="s">
        <v>280</v>
      </c>
      <c r="C29" s="4" t="s">
        <v>14</v>
      </c>
      <c r="D29" s="4" t="s">
        <v>281</v>
      </c>
      <c r="E29" s="4" t="s">
        <v>62</v>
      </c>
      <c r="F29" s="4" t="s">
        <v>282</v>
      </c>
      <c r="G29" s="4" t="s">
        <v>283</v>
      </c>
      <c r="H29" s="11"/>
      <c r="I29" s="4" t="s">
        <v>83</v>
      </c>
      <c r="J29" s="4" t="s">
        <v>131</v>
      </c>
      <c r="K29" s="4" t="s">
        <v>254</v>
      </c>
      <c r="L29" s="4" t="s">
        <v>284</v>
      </c>
      <c r="M29" s="4" t="s">
        <v>285</v>
      </c>
      <c r="N29" s="4" t="s">
        <v>286</v>
      </c>
      <c r="O29" s="14" t="s">
        <v>88</v>
      </c>
      <c r="P29" s="12" t="s">
        <v>72</v>
      </c>
      <c r="Q29" s="4" t="s">
        <v>72</v>
      </c>
      <c r="R29" s="4" t="s">
        <v>73</v>
      </c>
      <c r="S29" s="4" t="s">
        <v>74</v>
      </c>
      <c r="T29" s="4" t="s">
        <v>74</v>
      </c>
      <c r="U29" s="4" t="s">
        <v>75</v>
      </c>
      <c r="V29" s="13" t="s">
        <v>9</v>
      </c>
      <c r="W29" s="4" t="s">
        <v>257</v>
      </c>
      <c r="X29" s="4"/>
      <c r="Y29" s="4"/>
      <c r="Z29" s="4"/>
      <c r="AA29" s="4" t="s">
        <v>287</v>
      </c>
    </row>
    <row r="30" customFormat="false" ht="46.25" hidden="false" customHeight="false" outlineLevel="0" collapsed="false">
      <c r="A30" s="4" t="s">
        <v>288</v>
      </c>
      <c r="B30" s="4" t="s">
        <v>289</v>
      </c>
      <c r="C30" s="4" t="s">
        <v>14</v>
      </c>
      <c r="D30" s="4" t="s">
        <v>290</v>
      </c>
      <c r="E30" s="4" t="s">
        <v>62</v>
      </c>
      <c r="F30" s="4" t="s">
        <v>291</v>
      </c>
      <c r="G30" s="4"/>
      <c r="H30" s="11"/>
      <c r="I30" s="4" t="s">
        <v>65</v>
      </c>
      <c r="J30" s="4" t="s">
        <v>66</v>
      </c>
      <c r="K30" s="4" t="s">
        <v>292</v>
      </c>
      <c r="L30" s="4" t="s">
        <v>293</v>
      </c>
      <c r="M30" s="4" t="s">
        <v>106</v>
      </c>
      <c r="N30" s="4" t="s">
        <v>294</v>
      </c>
      <c r="O30" s="13" t="s">
        <v>172</v>
      </c>
      <c r="P30" s="15" t="s">
        <v>6</v>
      </c>
      <c r="Q30" s="4" t="s">
        <v>6</v>
      </c>
      <c r="R30" s="4" t="s">
        <v>74</v>
      </c>
      <c r="S30" s="4" t="s">
        <v>74</v>
      </c>
      <c r="T30" s="4" t="s">
        <v>74</v>
      </c>
      <c r="U30" s="4" t="s">
        <v>98</v>
      </c>
      <c r="V30" s="13" t="s">
        <v>9</v>
      </c>
      <c r="W30" s="4" t="s">
        <v>257</v>
      </c>
      <c r="X30" s="4"/>
      <c r="Y30" s="4"/>
      <c r="Z30" s="4"/>
      <c r="AA30" s="4" t="s">
        <v>295</v>
      </c>
    </row>
    <row r="31" customFormat="false" ht="57.45" hidden="false" customHeight="false" outlineLevel="0" collapsed="false">
      <c r="A31" s="4" t="s">
        <v>296</v>
      </c>
      <c r="B31" s="4" t="s">
        <v>297</v>
      </c>
      <c r="C31" s="4" t="s">
        <v>14</v>
      </c>
      <c r="D31" s="4" t="s">
        <v>298</v>
      </c>
      <c r="E31" s="4" t="s">
        <v>62</v>
      </c>
      <c r="F31" s="4" t="s">
        <v>291</v>
      </c>
      <c r="G31" s="4"/>
      <c r="H31" s="11"/>
      <c r="I31" s="4" t="s">
        <v>83</v>
      </c>
      <c r="J31" s="4" t="s">
        <v>66</v>
      </c>
      <c r="K31" s="4" t="s">
        <v>292</v>
      </c>
      <c r="L31" s="4" t="s">
        <v>299</v>
      </c>
      <c r="M31" s="4" t="s">
        <v>300</v>
      </c>
      <c r="N31" s="4" t="s">
        <v>301</v>
      </c>
      <c r="O31" s="16" t="s">
        <v>97</v>
      </c>
      <c r="P31" s="15" t="s">
        <v>5</v>
      </c>
      <c r="Q31" s="4" t="s">
        <v>5</v>
      </c>
      <c r="R31" s="4" t="s">
        <v>74</v>
      </c>
      <c r="S31" s="4" t="s">
        <v>74</v>
      </c>
      <c r="T31" s="4" t="s">
        <v>74</v>
      </c>
      <c r="U31" s="4" t="s">
        <v>98</v>
      </c>
      <c r="V31" s="13" t="s">
        <v>9</v>
      </c>
      <c r="W31" s="4" t="s">
        <v>257</v>
      </c>
      <c r="X31" s="4"/>
      <c r="Y31" s="4"/>
      <c r="Z31" s="4"/>
      <c r="AA31" s="4" t="s">
        <v>264</v>
      </c>
    </row>
    <row r="32" customFormat="false" ht="46.25" hidden="false" customHeight="false" outlineLevel="0" collapsed="false">
      <c r="A32" s="4" t="s">
        <v>302</v>
      </c>
      <c r="B32" s="4" t="s">
        <v>303</v>
      </c>
      <c r="C32" s="4" t="s">
        <v>14</v>
      </c>
      <c r="D32" s="4" t="s">
        <v>304</v>
      </c>
      <c r="E32" s="4" t="s">
        <v>62</v>
      </c>
      <c r="F32" s="4" t="s">
        <v>305</v>
      </c>
      <c r="G32" s="4" t="s">
        <v>306</v>
      </c>
      <c r="H32" s="11"/>
      <c r="I32" s="4" t="s">
        <v>113</v>
      </c>
      <c r="J32" s="4" t="s">
        <v>66</v>
      </c>
      <c r="K32" s="4" t="s">
        <v>307</v>
      </c>
      <c r="L32" s="4" t="s">
        <v>308</v>
      </c>
      <c r="M32" s="4" t="s">
        <v>309</v>
      </c>
      <c r="N32" s="4" t="s">
        <v>310</v>
      </c>
      <c r="O32" s="12" t="s">
        <v>71</v>
      </c>
      <c r="P32" s="12" t="s">
        <v>72</v>
      </c>
      <c r="Q32" s="4" t="s">
        <v>72</v>
      </c>
      <c r="R32" s="4" t="s">
        <v>73</v>
      </c>
      <c r="S32" s="4" t="s">
        <v>74</v>
      </c>
      <c r="T32" s="4" t="s">
        <v>73</v>
      </c>
      <c r="U32" s="4" t="s">
        <v>75</v>
      </c>
      <c r="V32" s="13" t="s">
        <v>9</v>
      </c>
      <c r="W32" s="4" t="s">
        <v>311</v>
      </c>
      <c r="X32" s="4"/>
      <c r="Y32" s="4"/>
      <c r="Z32" s="4"/>
      <c r="AA32" s="4" t="s">
        <v>312</v>
      </c>
    </row>
    <row r="33" customFormat="false" ht="46.25" hidden="false" customHeight="false" outlineLevel="0" collapsed="false">
      <c r="A33" s="4" t="s">
        <v>313</v>
      </c>
      <c r="B33" s="4" t="s">
        <v>314</v>
      </c>
      <c r="C33" s="4" t="s">
        <v>14</v>
      </c>
      <c r="D33" s="4" t="s">
        <v>315</v>
      </c>
      <c r="E33" s="4" t="s">
        <v>62</v>
      </c>
      <c r="F33" s="4" t="s">
        <v>316</v>
      </c>
      <c r="G33" s="4"/>
      <c r="H33" s="11"/>
      <c r="I33" s="4" t="s">
        <v>83</v>
      </c>
      <c r="J33" s="4" t="s">
        <v>66</v>
      </c>
      <c r="K33" s="4" t="s">
        <v>307</v>
      </c>
      <c r="L33" s="4" t="s">
        <v>317</v>
      </c>
      <c r="M33" s="4" t="s">
        <v>318</v>
      </c>
      <c r="N33" s="4" t="s">
        <v>319</v>
      </c>
      <c r="O33" s="16" t="s">
        <v>97</v>
      </c>
      <c r="P33" s="15" t="s">
        <v>5</v>
      </c>
      <c r="Q33" s="4" t="s">
        <v>5</v>
      </c>
      <c r="R33" s="4" t="s">
        <v>74</v>
      </c>
      <c r="S33" s="4" t="s">
        <v>74</v>
      </c>
      <c r="T33" s="4" t="s">
        <v>73</v>
      </c>
      <c r="U33" s="4" t="s">
        <v>98</v>
      </c>
      <c r="V33" s="13" t="s">
        <v>9</v>
      </c>
      <c r="W33" s="4" t="s">
        <v>311</v>
      </c>
      <c r="X33" s="4" t="s">
        <v>320</v>
      </c>
      <c r="Y33" s="4"/>
      <c r="Z33" s="4"/>
      <c r="AA33" s="4" t="s">
        <v>321</v>
      </c>
    </row>
    <row r="34" customFormat="false" ht="46.25" hidden="false" customHeight="false" outlineLevel="0" collapsed="false">
      <c r="A34" s="4" t="s">
        <v>322</v>
      </c>
      <c r="B34" s="4" t="s">
        <v>323</v>
      </c>
      <c r="C34" s="4" t="s">
        <v>14</v>
      </c>
      <c r="D34" s="4" t="s">
        <v>324</v>
      </c>
      <c r="E34" s="4" t="s">
        <v>62</v>
      </c>
      <c r="F34" s="4" t="s">
        <v>325</v>
      </c>
      <c r="G34" s="4"/>
      <c r="H34" s="11"/>
      <c r="I34" s="4" t="s">
        <v>83</v>
      </c>
      <c r="J34" s="4" t="s">
        <v>66</v>
      </c>
      <c r="K34" s="4" t="s">
        <v>307</v>
      </c>
      <c r="L34" s="4" t="s">
        <v>326</v>
      </c>
      <c r="M34" s="4" t="s">
        <v>106</v>
      </c>
      <c r="N34" s="4" t="s">
        <v>327</v>
      </c>
      <c r="O34" s="16" t="s">
        <v>97</v>
      </c>
      <c r="P34" s="15" t="s">
        <v>5</v>
      </c>
      <c r="Q34" s="4" t="s">
        <v>5</v>
      </c>
      <c r="R34" s="4" t="s">
        <v>74</v>
      </c>
      <c r="S34" s="4" t="s">
        <v>74</v>
      </c>
      <c r="T34" s="4" t="s">
        <v>73</v>
      </c>
      <c r="U34" s="4" t="s">
        <v>98</v>
      </c>
      <c r="V34" s="13" t="s">
        <v>9</v>
      </c>
      <c r="W34" s="4" t="s">
        <v>311</v>
      </c>
      <c r="X34" s="4"/>
      <c r="Y34" s="4"/>
      <c r="Z34" s="4"/>
      <c r="AA34" s="4" t="s">
        <v>321</v>
      </c>
    </row>
    <row r="35" customFormat="false" ht="46.25" hidden="false" customHeight="false" outlineLevel="0" collapsed="false">
      <c r="A35" s="4" t="s">
        <v>328</v>
      </c>
      <c r="B35" s="4" t="s">
        <v>329</v>
      </c>
      <c r="C35" s="4" t="s">
        <v>14</v>
      </c>
      <c r="D35" s="4" t="s">
        <v>330</v>
      </c>
      <c r="E35" s="4" t="s">
        <v>152</v>
      </c>
      <c r="F35" s="4" t="s">
        <v>291</v>
      </c>
      <c r="G35" s="4"/>
      <c r="H35" s="11"/>
      <c r="I35" s="4" t="s">
        <v>83</v>
      </c>
      <c r="J35" s="4" t="s">
        <v>66</v>
      </c>
      <c r="K35" s="4" t="s">
        <v>292</v>
      </c>
      <c r="L35" s="4" t="s">
        <v>331</v>
      </c>
      <c r="M35" s="4" t="s">
        <v>332</v>
      </c>
      <c r="N35" s="4" t="s">
        <v>333</v>
      </c>
      <c r="O35" s="13" t="s">
        <v>172</v>
      </c>
      <c r="P35" s="15" t="s">
        <v>6</v>
      </c>
      <c r="Q35" s="4" t="s">
        <v>6</v>
      </c>
      <c r="R35" s="4" t="s">
        <v>74</v>
      </c>
      <c r="S35" s="4" t="s">
        <v>74</v>
      </c>
      <c r="T35" s="4" t="s">
        <v>74</v>
      </c>
      <c r="U35" s="4" t="s">
        <v>98</v>
      </c>
      <c r="V35" s="13" t="s">
        <v>9</v>
      </c>
      <c r="W35" s="4" t="s">
        <v>257</v>
      </c>
      <c r="X35" s="4"/>
      <c r="Y35" s="4"/>
      <c r="Z35" s="4"/>
      <c r="AA35" s="4" t="s">
        <v>295</v>
      </c>
    </row>
    <row r="36" customFormat="false" ht="46.25" hidden="false" customHeight="false" outlineLevel="0" collapsed="false">
      <c r="A36" s="4" t="s">
        <v>334</v>
      </c>
      <c r="B36" s="4" t="s">
        <v>335</v>
      </c>
      <c r="C36" s="4" t="s">
        <v>14</v>
      </c>
      <c r="D36" s="4" t="s">
        <v>336</v>
      </c>
      <c r="E36" s="4" t="s">
        <v>152</v>
      </c>
      <c r="F36" s="4" t="s">
        <v>337</v>
      </c>
      <c r="G36" s="4" t="s">
        <v>338</v>
      </c>
      <c r="H36" s="11"/>
      <c r="I36" s="4" t="s">
        <v>83</v>
      </c>
      <c r="J36" s="4" t="s">
        <v>131</v>
      </c>
      <c r="K36" s="4" t="s">
        <v>307</v>
      </c>
      <c r="L36" s="4" t="s">
        <v>339</v>
      </c>
      <c r="M36" s="4" t="s">
        <v>340</v>
      </c>
      <c r="N36" s="4" t="s">
        <v>341</v>
      </c>
      <c r="O36" s="14" t="s">
        <v>88</v>
      </c>
      <c r="P36" s="15" t="s">
        <v>5</v>
      </c>
      <c r="Q36" s="4" t="s">
        <v>72</v>
      </c>
      <c r="R36" s="4" t="s">
        <v>74</v>
      </c>
      <c r="S36" s="4" t="s">
        <v>74</v>
      </c>
      <c r="T36" s="4" t="s">
        <v>73</v>
      </c>
      <c r="U36" s="4" t="s">
        <v>75</v>
      </c>
      <c r="V36" s="13" t="s">
        <v>9</v>
      </c>
      <c r="W36" s="4" t="s">
        <v>311</v>
      </c>
      <c r="X36" s="4"/>
      <c r="Y36" s="4"/>
      <c r="Z36" s="4"/>
      <c r="AA36" s="4" t="s">
        <v>342</v>
      </c>
    </row>
    <row r="37" customFormat="false" ht="35.05" hidden="false" customHeight="false" outlineLevel="0" collapsed="false">
      <c r="A37" s="4" t="s">
        <v>343</v>
      </c>
      <c r="B37" s="4" t="s">
        <v>344</v>
      </c>
      <c r="C37" s="4" t="s">
        <v>14</v>
      </c>
      <c r="D37" s="4" t="s">
        <v>345</v>
      </c>
      <c r="E37" s="4" t="s">
        <v>177</v>
      </c>
      <c r="F37" s="4" t="s">
        <v>253</v>
      </c>
      <c r="G37" s="4"/>
      <c r="H37" s="11"/>
      <c r="I37" s="4" t="s">
        <v>65</v>
      </c>
      <c r="J37" s="4" t="s">
        <v>66</v>
      </c>
      <c r="K37" s="4" t="s">
        <v>254</v>
      </c>
      <c r="L37" s="4" t="s">
        <v>346</v>
      </c>
      <c r="M37" s="4" t="s">
        <v>347</v>
      </c>
      <c r="N37" s="4" t="s">
        <v>348</v>
      </c>
      <c r="O37" s="16" t="s">
        <v>97</v>
      </c>
      <c r="P37" s="15" t="s">
        <v>5</v>
      </c>
      <c r="Q37" s="4" t="s">
        <v>5</v>
      </c>
      <c r="R37" s="4" t="s">
        <v>74</v>
      </c>
      <c r="S37" s="4" t="s">
        <v>74</v>
      </c>
      <c r="T37" s="4" t="s">
        <v>74</v>
      </c>
      <c r="U37" s="4" t="s">
        <v>98</v>
      </c>
      <c r="V37" s="13" t="s">
        <v>9</v>
      </c>
      <c r="W37" s="4" t="s">
        <v>257</v>
      </c>
      <c r="X37" s="4"/>
      <c r="Y37" s="4"/>
      <c r="Z37" s="4"/>
      <c r="AA37" s="4" t="s">
        <v>264</v>
      </c>
    </row>
    <row r="38" customFormat="false" ht="35.05" hidden="false" customHeight="false" outlineLevel="0" collapsed="false">
      <c r="A38" s="4" t="s">
        <v>349</v>
      </c>
      <c r="B38" s="4" t="s">
        <v>350</v>
      </c>
      <c r="C38" s="4" t="s">
        <v>14</v>
      </c>
      <c r="D38" s="4" t="s">
        <v>351</v>
      </c>
      <c r="E38" s="4" t="s">
        <v>177</v>
      </c>
      <c r="F38" s="4" t="s">
        <v>291</v>
      </c>
      <c r="G38" s="4"/>
      <c r="H38" s="11"/>
      <c r="I38" s="4" t="s">
        <v>83</v>
      </c>
      <c r="J38" s="4" t="s">
        <v>66</v>
      </c>
      <c r="K38" s="4" t="s">
        <v>254</v>
      </c>
      <c r="L38" s="4" t="s">
        <v>352</v>
      </c>
      <c r="M38" s="4" t="s">
        <v>353</v>
      </c>
      <c r="N38" s="4" t="s">
        <v>354</v>
      </c>
      <c r="O38" s="16" t="s">
        <v>97</v>
      </c>
      <c r="P38" s="15" t="s">
        <v>5</v>
      </c>
      <c r="Q38" s="4" t="s">
        <v>5</v>
      </c>
      <c r="R38" s="4" t="s">
        <v>74</v>
      </c>
      <c r="S38" s="4" t="s">
        <v>74</v>
      </c>
      <c r="T38" s="4" t="s">
        <v>74</v>
      </c>
      <c r="U38" s="4" t="s">
        <v>98</v>
      </c>
      <c r="V38" s="13" t="s">
        <v>9</v>
      </c>
      <c r="W38" s="4" t="s">
        <v>257</v>
      </c>
      <c r="X38" s="4"/>
      <c r="Y38" s="4"/>
      <c r="Z38" s="4"/>
      <c r="AA38" s="4" t="s">
        <v>264</v>
      </c>
    </row>
    <row r="39" customFormat="false" ht="46.25" hidden="false" customHeight="false" outlineLevel="0" collapsed="false">
      <c r="A39" s="4" t="s">
        <v>355</v>
      </c>
      <c r="B39" s="4" t="s">
        <v>356</v>
      </c>
      <c r="C39" s="4" t="s">
        <v>14</v>
      </c>
      <c r="D39" s="4" t="s">
        <v>357</v>
      </c>
      <c r="E39" s="4" t="s">
        <v>177</v>
      </c>
      <c r="F39" s="4" t="s">
        <v>291</v>
      </c>
      <c r="G39" s="4"/>
      <c r="H39" s="11"/>
      <c r="I39" s="4" t="s">
        <v>83</v>
      </c>
      <c r="J39" s="4" t="s">
        <v>66</v>
      </c>
      <c r="K39" s="4" t="s">
        <v>292</v>
      </c>
      <c r="L39" s="4" t="s">
        <v>358</v>
      </c>
      <c r="M39" s="4" t="s">
        <v>106</v>
      </c>
      <c r="N39" s="4" t="s">
        <v>359</v>
      </c>
      <c r="O39" s="16" t="s">
        <v>97</v>
      </c>
      <c r="P39" s="15" t="s">
        <v>5</v>
      </c>
      <c r="Q39" s="4" t="s">
        <v>5</v>
      </c>
      <c r="R39" s="4" t="s">
        <v>74</v>
      </c>
      <c r="S39" s="4" t="s">
        <v>74</v>
      </c>
      <c r="T39" s="4" t="s">
        <v>74</v>
      </c>
      <c r="U39" s="4" t="s">
        <v>98</v>
      </c>
      <c r="V39" s="13" t="s">
        <v>9</v>
      </c>
      <c r="W39" s="4" t="s">
        <v>257</v>
      </c>
      <c r="X39" s="4" t="s">
        <v>360</v>
      </c>
      <c r="Y39" s="4"/>
      <c r="Z39" s="4"/>
      <c r="AA39" s="4" t="s">
        <v>264</v>
      </c>
    </row>
    <row r="40" customFormat="false" ht="46.25" hidden="false" customHeight="false" outlineLevel="0" collapsed="false">
      <c r="A40" s="4" t="s">
        <v>361</v>
      </c>
      <c r="B40" s="4" t="s">
        <v>362</v>
      </c>
      <c r="C40" s="4" t="s">
        <v>15</v>
      </c>
      <c r="D40" s="4" t="s">
        <v>363</v>
      </c>
      <c r="E40" s="4" t="s">
        <v>62</v>
      </c>
      <c r="F40" s="4" t="s">
        <v>364</v>
      </c>
      <c r="G40" s="4"/>
      <c r="H40" s="11"/>
      <c r="I40" s="4" t="s">
        <v>65</v>
      </c>
      <c r="J40" s="4" t="s">
        <v>66</v>
      </c>
      <c r="K40" s="4" t="s">
        <v>365</v>
      </c>
      <c r="L40" s="4" t="s">
        <v>366</v>
      </c>
      <c r="M40" s="4" t="s">
        <v>367</v>
      </c>
      <c r="N40" s="4" t="s">
        <v>368</v>
      </c>
      <c r="O40" s="14" t="s">
        <v>88</v>
      </c>
      <c r="P40" s="12" t="s">
        <v>72</v>
      </c>
      <c r="Q40" s="4" t="s">
        <v>72</v>
      </c>
      <c r="R40" s="4" t="s">
        <v>73</v>
      </c>
      <c r="S40" s="4" t="s">
        <v>73</v>
      </c>
      <c r="T40" s="4" t="s">
        <v>74</v>
      </c>
      <c r="U40" s="4" t="s">
        <v>98</v>
      </c>
      <c r="V40" s="13" t="s">
        <v>9</v>
      </c>
      <c r="W40" s="4" t="s">
        <v>369</v>
      </c>
      <c r="X40" s="4"/>
      <c r="Y40" s="4"/>
      <c r="Z40" s="4"/>
      <c r="AA40" s="4" t="s">
        <v>370</v>
      </c>
    </row>
    <row r="41" customFormat="false" ht="46.25" hidden="false" customHeight="false" outlineLevel="0" collapsed="false">
      <c r="A41" s="4" t="s">
        <v>371</v>
      </c>
      <c r="B41" s="4" t="s">
        <v>372</v>
      </c>
      <c r="C41" s="4" t="s">
        <v>15</v>
      </c>
      <c r="D41" s="4" t="s">
        <v>373</v>
      </c>
      <c r="E41" s="4" t="s">
        <v>62</v>
      </c>
      <c r="F41" s="4" t="s">
        <v>364</v>
      </c>
      <c r="G41" s="4"/>
      <c r="H41" s="11"/>
      <c r="I41" s="4" t="s">
        <v>65</v>
      </c>
      <c r="J41" s="4" t="s">
        <v>66</v>
      </c>
      <c r="K41" s="4" t="s">
        <v>365</v>
      </c>
      <c r="L41" s="4" t="s">
        <v>374</v>
      </c>
      <c r="M41" s="4" t="s">
        <v>106</v>
      </c>
      <c r="N41" s="4" t="s">
        <v>375</v>
      </c>
      <c r="O41" s="16" t="s">
        <v>97</v>
      </c>
      <c r="P41" s="15" t="s">
        <v>5</v>
      </c>
      <c r="Q41" s="4" t="s">
        <v>5</v>
      </c>
      <c r="R41" s="4" t="s">
        <v>74</v>
      </c>
      <c r="S41" s="4" t="s">
        <v>74</v>
      </c>
      <c r="T41" s="4" t="s">
        <v>74</v>
      </c>
      <c r="U41" s="4" t="s">
        <v>98</v>
      </c>
      <c r="V41" s="13" t="s">
        <v>9</v>
      </c>
      <c r="W41" s="4" t="s">
        <v>369</v>
      </c>
      <c r="X41" s="4" t="s">
        <v>376</v>
      </c>
      <c r="Y41" s="4"/>
      <c r="Z41" s="4"/>
      <c r="AA41" s="4" t="s">
        <v>377</v>
      </c>
    </row>
    <row r="42" customFormat="false" ht="46.25" hidden="false" customHeight="false" outlineLevel="0" collapsed="false">
      <c r="A42" s="4" t="s">
        <v>378</v>
      </c>
      <c r="B42" s="4" t="s">
        <v>379</v>
      </c>
      <c r="C42" s="4" t="s">
        <v>15</v>
      </c>
      <c r="D42" s="4" t="s">
        <v>380</v>
      </c>
      <c r="E42" s="4" t="s">
        <v>62</v>
      </c>
      <c r="F42" s="4" t="s">
        <v>381</v>
      </c>
      <c r="G42" s="4"/>
      <c r="H42" s="11"/>
      <c r="I42" s="4" t="s">
        <v>130</v>
      </c>
      <c r="J42" s="4" t="s">
        <v>66</v>
      </c>
      <c r="K42" s="4" t="s">
        <v>365</v>
      </c>
      <c r="L42" s="4" t="s">
        <v>382</v>
      </c>
      <c r="M42" s="4" t="s">
        <v>383</v>
      </c>
      <c r="N42" s="4" t="s">
        <v>384</v>
      </c>
      <c r="O42" s="14" t="s">
        <v>88</v>
      </c>
      <c r="P42" s="15" t="s">
        <v>5</v>
      </c>
      <c r="Q42" s="4" t="s">
        <v>72</v>
      </c>
      <c r="R42" s="4" t="s">
        <v>74</v>
      </c>
      <c r="S42" s="4" t="s">
        <v>74</v>
      </c>
      <c r="T42" s="4" t="s">
        <v>74</v>
      </c>
      <c r="U42" s="4" t="s">
        <v>98</v>
      </c>
      <c r="V42" s="13" t="s">
        <v>9</v>
      </c>
      <c r="W42" s="4" t="s">
        <v>369</v>
      </c>
      <c r="X42" s="4" t="s">
        <v>385</v>
      </c>
      <c r="Y42" s="4" t="s">
        <v>386</v>
      </c>
      <c r="Z42" s="4"/>
      <c r="AA42" s="4" t="s">
        <v>377</v>
      </c>
    </row>
    <row r="43" customFormat="false" ht="46.25" hidden="false" customHeight="false" outlineLevel="0" collapsed="false">
      <c r="A43" s="4" t="s">
        <v>387</v>
      </c>
      <c r="B43" s="4" t="s">
        <v>388</v>
      </c>
      <c r="C43" s="4" t="s">
        <v>15</v>
      </c>
      <c r="D43" s="4" t="s">
        <v>389</v>
      </c>
      <c r="E43" s="4" t="s">
        <v>62</v>
      </c>
      <c r="F43" s="4" t="s">
        <v>381</v>
      </c>
      <c r="G43" s="4"/>
      <c r="H43" s="11"/>
      <c r="I43" s="4" t="s">
        <v>130</v>
      </c>
      <c r="J43" s="4" t="s">
        <v>66</v>
      </c>
      <c r="K43" s="4" t="s">
        <v>365</v>
      </c>
      <c r="L43" s="4" t="s">
        <v>390</v>
      </c>
      <c r="M43" s="4" t="s">
        <v>391</v>
      </c>
      <c r="N43" s="4" t="s">
        <v>392</v>
      </c>
      <c r="O43" s="14" t="s">
        <v>88</v>
      </c>
      <c r="P43" s="15" t="s">
        <v>5</v>
      </c>
      <c r="Q43" s="4" t="s">
        <v>72</v>
      </c>
      <c r="R43" s="4" t="s">
        <v>74</v>
      </c>
      <c r="S43" s="4" t="s">
        <v>74</v>
      </c>
      <c r="T43" s="4" t="s">
        <v>74</v>
      </c>
      <c r="U43" s="4" t="s">
        <v>98</v>
      </c>
      <c r="V43" s="13" t="s">
        <v>9</v>
      </c>
      <c r="W43" s="4" t="s">
        <v>369</v>
      </c>
      <c r="X43" s="4" t="s">
        <v>393</v>
      </c>
      <c r="Y43" s="4" t="s">
        <v>386</v>
      </c>
      <c r="Z43" s="4"/>
      <c r="AA43" s="4" t="s">
        <v>377</v>
      </c>
    </row>
    <row r="44" customFormat="false" ht="46.25" hidden="false" customHeight="false" outlineLevel="0" collapsed="false">
      <c r="A44" s="4" t="s">
        <v>394</v>
      </c>
      <c r="B44" s="4" t="s">
        <v>395</v>
      </c>
      <c r="C44" s="4" t="s">
        <v>15</v>
      </c>
      <c r="D44" s="4" t="s">
        <v>396</v>
      </c>
      <c r="E44" s="4" t="s">
        <v>62</v>
      </c>
      <c r="F44" s="4" t="s">
        <v>397</v>
      </c>
      <c r="G44" s="4" t="s">
        <v>398</v>
      </c>
      <c r="H44" s="11"/>
      <c r="I44" s="4" t="s">
        <v>65</v>
      </c>
      <c r="J44" s="4" t="s">
        <v>131</v>
      </c>
      <c r="K44" s="4" t="s">
        <v>365</v>
      </c>
      <c r="L44" s="4" t="s">
        <v>399</v>
      </c>
      <c r="M44" s="4" t="s">
        <v>400</v>
      </c>
      <c r="N44" s="4" t="s">
        <v>401</v>
      </c>
      <c r="O44" s="14" t="s">
        <v>88</v>
      </c>
      <c r="P44" s="12" t="s">
        <v>72</v>
      </c>
      <c r="Q44" s="4" t="s">
        <v>72</v>
      </c>
      <c r="R44" s="4" t="s">
        <v>73</v>
      </c>
      <c r="S44" s="4" t="s">
        <v>74</v>
      </c>
      <c r="T44" s="4" t="s">
        <v>74</v>
      </c>
      <c r="U44" s="4" t="s">
        <v>75</v>
      </c>
      <c r="V44" s="13" t="s">
        <v>9</v>
      </c>
      <c r="W44" s="4" t="s">
        <v>369</v>
      </c>
      <c r="X44" s="4"/>
      <c r="Y44" s="4"/>
      <c r="Z44" s="4"/>
      <c r="AA44" s="4" t="s">
        <v>402</v>
      </c>
    </row>
    <row r="45" customFormat="false" ht="46.25" hidden="false" customHeight="false" outlineLevel="0" collapsed="false">
      <c r="A45" s="4" t="s">
        <v>403</v>
      </c>
      <c r="B45" s="4" t="s">
        <v>404</v>
      </c>
      <c r="C45" s="4" t="s">
        <v>15</v>
      </c>
      <c r="D45" s="4" t="s">
        <v>405</v>
      </c>
      <c r="E45" s="4" t="s">
        <v>62</v>
      </c>
      <c r="F45" s="4" t="s">
        <v>406</v>
      </c>
      <c r="G45" s="4" t="s">
        <v>398</v>
      </c>
      <c r="H45" s="11"/>
      <c r="I45" s="4" t="s">
        <v>407</v>
      </c>
      <c r="J45" s="4" t="s">
        <v>408</v>
      </c>
      <c r="K45" s="4" t="s">
        <v>365</v>
      </c>
      <c r="L45" s="4" t="s">
        <v>409</v>
      </c>
      <c r="M45" s="4" t="s">
        <v>106</v>
      </c>
      <c r="N45" s="4" t="s">
        <v>410</v>
      </c>
      <c r="O45" s="14" t="s">
        <v>88</v>
      </c>
      <c r="P45" s="12" t="s">
        <v>72</v>
      </c>
      <c r="Q45" s="4" t="s">
        <v>72</v>
      </c>
      <c r="R45" s="4" t="s">
        <v>73</v>
      </c>
      <c r="S45" s="4" t="s">
        <v>74</v>
      </c>
      <c r="T45" s="4" t="s">
        <v>74</v>
      </c>
      <c r="U45" s="4" t="s">
        <v>75</v>
      </c>
      <c r="V45" s="13" t="s">
        <v>9</v>
      </c>
      <c r="W45" s="4" t="s">
        <v>369</v>
      </c>
      <c r="X45" s="4"/>
      <c r="Y45" s="4"/>
      <c r="Z45" s="4"/>
      <c r="AA45" s="4" t="s">
        <v>411</v>
      </c>
    </row>
    <row r="46" customFormat="false" ht="46.25" hidden="false" customHeight="false" outlineLevel="0" collapsed="false">
      <c r="A46" s="4" t="s">
        <v>412</v>
      </c>
      <c r="B46" s="4" t="s">
        <v>413</v>
      </c>
      <c r="C46" s="4" t="s">
        <v>15</v>
      </c>
      <c r="D46" s="4" t="s">
        <v>414</v>
      </c>
      <c r="E46" s="4" t="s">
        <v>62</v>
      </c>
      <c r="F46" s="4" t="s">
        <v>364</v>
      </c>
      <c r="G46" s="4" t="s">
        <v>415</v>
      </c>
      <c r="H46" s="11"/>
      <c r="I46" s="4" t="s">
        <v>83</v>
      </c>
      <c r="J46" s="4" t="s">
        <v>66</v>
      </c>
      <c r="K46" s="4" t="s">
        <v>307</v>
      </c>
      <c r="L46" s="4" t="s">
        <v>416</v>
      </c>
      <c r="M46" s="4" t="s">
        <v>417</v>
      </c>
      <c r="N46" s="4" t="s">
        <v>418</v>
      </c>
      <c r="O46" s="16" t="s">
        <v>97</v>
      </c>
      <c r="P46" s="15" t="s">
        <v>5</v>
      </c>
      <c r="Q46" s="4" t="s">
        <v>5</v>
      </c>
      <c r="R46" s="4" t="s">
        <v>74</v>
      </c>
      <c r="S46" s="4" t="s">
        <v>74</v>
      </c>
      <c r="T46" s="4" t="s">
        <v>74</v>
      </c>
      <c r="U46" s="4" t="s">
        <v>98</v>
      </c>
      <c r="V46" s="13" t="s">
        <v>9</v>
      </c>
      <c r="W46" s="4" t="s">
        <v>369</v>
      </c>
      <c r="X46" s="4" t="s">
        <v>419</v>
      </c>
      <c r="Y46" s="4" t="s">
        <v>386</v>
      </c>
      <c r="Z46" s="4"/>
      <c r="AA46" s="4" t="s">
        <v>420</v>
      </c>
    </row>
    <row r="47" customFormat="false" ht="35.05" hidden="false" customHeight="false" outlineLevel="0" collapsed="false">
      <c r="A47" s="4" t="s">
        <v>421</v>
      </c>
      <c r="B47" s="4" t="s">
        <v>422</v>
      </c>
      <c r="C47" s="4" t="s">
        <v>15</v>
      </c>
      <c r="D47" s="4" t="s">
        <v>423</v>
      </c>
      <c r="E47" s="4" t="s">
        <v>152</v>
      </c>
      <c r="F47" s="4" t="s">
        <v>364</v>
      </c>
      <c r="G47" s="4" t="s">
        <v>415</v>
      </c>
      <c r="H47" s="11"/>
      <c r="I47" s="4" t="s">
        <v>83</v>
      </c>
      <c r="J47" s="4" t="s">
        <v>131</v>
      </c>
      <c r="K47" s="4" t="s">
        <v>254</v>
      </c>
      <c r="L47" s="4" t="s">
        <v>424</v>
      </c>
      <c r="M47" s="4" t="s">
        <v>425</v>
      </c>
      <c r="N47" s="4" t="s">
        <v>426</v>
      </c>
      <c r="O47" s="14" t="s">
        <v>88</v>
      </c>
      <c r="P47" s="15" t="s">
        <v>5</v>
      </c>
      <c r="Q47" s="4" t="s">
        <v>72</v>
      </c>
      <c r="R47" s="4" t="s">
        <v>74</v>
      </c>
      <c r="S47" s="4" t="s">
        <v>74</v>
      </c>
      <c r="T47" s="4" t="s">
        <v>74</v>
      </c>
      <c r="U47" s="4" t="s">
        <v>75</v>
      </c>
      <c r="V47" s="13" t="s">
        <v>9</v>
      </c>
      <c r="W47" s="4" t="s">
        <v>369</v>
      </c>
      <c r="X47" s="4" t="s">
        <v>427</v>
      </c>
      <c r="Y47" s="4" t="s">
        <v>386</v>
      </c>
      <c r="Z47" s="4"/>
      <c r="AA47" s="4" t="s">
        <v>428</v>
      </c>
    </row>
    <row r="48" customFormat="false" ht="46.25" hidden="false" customHeight="false" outlineLevel="0" collapsed="false">
      <c r="A48" s="4" t="s">
        <v>429</v>
      </c>
      <c r="B48" s="4" t="s">
        <v>430</v>
      </c>
      <c r="C48" s="4" t="s">
        <v>15</v>
      </c>
      <c r="D48" s="4" t="s">
        <v>431</v>
      </c>
      <c r="E48" s="4" t="s">
        <v>152</v>
      </c>
      <c r="F48" s="4" t="s">
        <v>397</v>
      </c>
      <c r="G48" s="4"/>
      <c r="H48" s="11"/>
      <c r="I48" s="4" t="s">
        <v>65</v>
      </c>
      <c r="J48" s="4" t="s">
        <v>66</v>
      </c>
      <c r="K48" s="4" t="s">
        <v>365</v>
      </c>
      <c r="L48" s="4" t="s">
        <v>432</v>
      </c>
      <c r="M48" s="4" t="s">
        <v>106</v>
      </c>
      <c r="N48" s="4" t="s">
        <v>433</v>
      </c>
      <c r="O48" s="16" t="s">
        <v>97</v>
      </c>
      <c r="P48" s="15" t="s">
        <v>5</v>
      </c>
      <c r="Q48" s="4" t="s">
        <v>5</v>
      </c>
      <c r="R48" s="4" t="s">
        <v>74</v>
      </c>
      <c r="S48" s="4" t="s">
        <v>74</v>
      </c>
      <c r="T48" s="4" t="s">
        <v>74</v>
      </c>
      <c r="U48" s="4" t="s">
        <v>98</v>
      </c>
      <c r="V48" s="13" t="s">
        <v>9</v>
      </c>
      <c r="W48" s="4" t="s">
        <v>369</v>
      </c>
      <c r="X48" s="4" t="s">
        <v>434</v>
      </c>
      <c r="Y48" s="4"/>
      <c r="Z48" s="4"/>
      <c r="AA48" s="4" t="s">
        <v>377</v>
      </c>
    </row>
    <row r="49" customFormat="false" ht="46.25" hidden="false" customHeight="false" outlineLevel="0" collapsed="false">
      <c r="A49" s="4" t="s">
        <v>435</v>
      </c>
      <c r="B49" s="4" t="s">
        <v>436</v>
      </c>
      <c r="C49" s="4" t="s">
        <v>15</v>
      </c>
      <c r="D49" s="4" t="s">
        <v>437</v>
      </c>
      <c r="E49" s="4" t="s">
        <v>177</v>
      </c>
      <c r="F49" s="4" t="s">
        <v>364</v>
      </c>
      <c r="G49" s="4"/>
      <c r="H49" s="11"/>
      <c r="I49" s="4" t="s">
        <v>83</v>
      </c>
      <c r="J49" s="4" t="s">
        <v>66</v>
      </c>
      <c r="K49" s="4" t="s">
        <v>365</v>
      </c>
      <c r="L49" s="4" t="s">
        <v>438</v>
      </c>
      <c r="M49" s="4" t="s">
        <v>106</v>
      </c>
      <c r="N49" s="4" t="s">
        <v>439</v>
      </c>
      <c r="O49" s="16" t="s">
        <v>97</v>
      </c>
      <c r="P49" s="15" t="s">
        <v>5</v>
      </c>
      <c r="Q49" s="4" t="s">
        <v>5</v>
      </c>
      <c r="R49" s="4" t="s">
        <v>74</v>
      </c>
      <c r="S49" s="4" t="s">
        <v>74</v>
      </c>
      <c r="T49" s="4" t="s">
        <v>74</v>
      </c>
      <c r="U49" s="4" t="s">
        <v>98</v>
      </c>
      <c r="V49" s="13" t="s">
        <v>9</v>
      </c>
      <c r="W49" s="4" t="s">
        <v>369</v>
      </c>
      <c r="X49" s="4" t="s">
        <v>440</v>
      </c>
      <c r="Y49" s="4"/>
      <c r="Z49" s="4"/>
      <c r="AA49" s="4" t="s">
        <v>377</v>
      </c>
    </row>
    <row r="50" customFormat="false" ht="46.25" hidden="false" customHeight="false" outlineLevel="0" collapsed="false">
      <c r="A50" s="4" t="s">
        <v>441</v>
      </c>
      <c r="B50" s="4" t="s">
        <v>442</v>
      </c>
      <c r="C50" s="4" t="s">
        <v>15</v>
      </c>
      <c r="D50" s="4" t="s">
        <v>443</v>
      </c>
      <c r="E50" s="4" t="s">
        <v>177</v>
      </c>
      <c r="F50" s="4" t="s">
        <v>444</v>
      </c>
      <c r="G50" s="4" t="s">
        <v>223</v>
      </c>
      <c r="H50" s="11"/>
      <c r="I50" s="4" t="s">
        <v>65</v>
      </c>
      <c r="J50" s="4" t="s">
        <v>408</v>
      </c>
      <c r="K50" s="4" t="s">
        <v>365</v>
      </c>
      <c r="L50" s="4" t="s">
        <v>445</v>
      </c>
      <c r="M50" s="4" t="s">
        <v>106</v>
      </c>
      <c r="N50" s="4" t="s">
        <v>446</v>
      </c>
      <c r="O50" s="14" t="s">
        <v>88</v>
      </c>
      <c r="P50" s="15" t="s">
        <v>5</v>
      </c>
      <c r="Q50" s="4" t="s">
        <v>5</v>
      </c>
      <c r="R50" s="4" t="s">
        <v>74</v>
      </c>
      <c r="S50" s="4" t="s">
        <v>74</v>
      </c>
      <c r="T50" s="4" t="s">
        <v>74</v>
      </c>
      <c r="U50" s="4" t="s">
        <v>75</v>
      </c>
      <c r="V50" s="13" t="s">
        <v>9</v>
      </c>
      <c r="W50" s="4" t="s">
        <v>369</v>
      </c>
      <c r="X50" s="4"/>
      <c r="Y50" s="4"/>
      <c r="Z50" s="4"/>
      <c r="AA50" s="4" t="s">
        <v>420</v>
      </c>
    </row>
    <row r="51" customFormat="false" ht="46.25" hidden="false" customHeight="false" outlineLevel="0" collapsed="false">
      <c r="A51" s="4" t="s">
        <v>447</v>
      </c>
      <c r="B51" s="4" t="s">
        <v>448</v>
      </c>
      <c r="C51" s="4" t="s">
        <v>16</v>
      </c>
      <c r="D51" s="4" t="s">
        <v>449</v>
      </c>
      <c r="E51" s="4" t="s">
        <v>62</v>
      </c>
      <c r="F51" s="4" t="s">
        <v>450</v>
      </c>
      <c r="G51" s="4"/>
      <c r="H51" s="11"/>
      <c r="I51" s="4" t="s">
        <v>65</v>
      </c>
      <c r="J51" s="4" t="s">
        <v>66</v>
      </c>
      <c r="K51" s="4" t="s">
        <v>451</v>
      </c>
      <c r="L51" s="4" t="s">
        <v>452</v>
      </c>
      <c r="M51" s="4" t="s">
        <v>453</v>
      </c>
      <c r="N51" s="4" t="s">
        <v>454</v>
      </c>
      <c r="O51" s="14" t="s">
        <v>88</v>
      </c>
      <c r="P51" s="15" t="s">
        <v>5</v>
      </c>
      <c r="Q51" s="4" t="s">
        <v>72</v>
      </c>
      <c r="R51" s="4" t="s">
        <v>74</v>
      </c>
      <c r="S51" s="4" t="s">
        <v>73</v>
      </c>
      <c r="T51" s="4" t="s">
        <v>74</v>
      </c>
      <c r="U51" s="4" t="s">
        <v>98</v>
      </c>
      <c r="V51" s="13" t="s">
        <v>9</v>
      </c>
      <c r="W51" s="4" t="s">
        <v>455</v>
      </c>
      <c r="X51" s="4"/>
      <c r="Y51" s="4"/>
      <c r="Z51" s="4"/>
      <c r="AA51" s="4" t="s">
        <v>456</v>
      </c>
    </row>
    <row r="52" customFormat="false" ht="46.25" hidden="false" customHeight="false" outlineLevel="0" collapsed="false">
      <c r="A52" s="4" t="s">
        <v>457</v>
      </c>
      <c r="B52" s="4" t="s">
        <v>458</v>
      </c>
      <c r="C52" s="4" t="s">
        <v>16</v>
      </c>
      <c r="D52" s="4" t="s">
        <v>459</v>
      </c>
      <c r="E52" s="4" t="s">
        <v>62</v>
      </c>
      <c r="F52" s="4" t="s">
        <v>460</v>
      </c>
      <c r="G52" s="4" t="s">
        <v>461</v>
      </c>
      <c r="H52" s="11"/>
      <c r="I52" s="4" t="s">
        <v>130</v>
      </c>
      <c r="J52" s="4" t="s">
        <v>131</v>
      </c>
      <c r="K52" s="4" t="s">
        <v>451</v>
      </c>
      <c r="L52" s="4" t="s">
        <v>462</v>
      </c>
      <c r="M52" s="4" t="s">
        <v>463</v>
      </c>
      <c r="N52" s="4" t="s">
        <v>464</v>
      </c>
      <c r="O52" s="14" t="s">
        <v>88</v>
      </c>
      <c r="P52" s="12" t="s">
        <v>72</v>
      </c>
      <c r="Q52" s="4" t="s">
        <v>72</v>
      </c>
      <c r="R52" s="4" t="s">
        <v>73</v>
      </c>
      <c r="S52" s="4" t="s">
        <v>74</v>
      </c>
      <c r="T52" s="4" t="s">
        <v>74</v>
      </c>
      <c r="U52" s="4" t="s">
        <v>75</v>
      </c>
      <c r="V52" s="13" t="s">
        <v>9</v>
      </c>
      <c r="W52" s="4" t="s">
        <v>455</v>
      </c>
      <c r="X52" s="4"/>
      <c r="Y52" s="4"/>
      <c r="Z52" s="4"/>
      <c r="AA52" s="4" t="s">
        <v>465</v>
      </c>
    </row>
    <row r="53" customFormat="false" ht="46.25" hidden="false" customHeight="false" outlineLevel="0" collapsed="false">
      <c r="A53" s="4" t="s">
        <v>466</v>
      </c>
      <c r="B53" s="4" t="s">
        <v>467</v>
      </c>
      <c r="C53" s="4" t="s">
        <v>16</v>
      </c>
      <c r="D53" s="4" t="s">
        <v>468</v>
      </c>
      <c r="E53" s="4" t="s">
        <v>62</v>
      </c>
      <c r="F53" s="4" t="s">
        <v>469</v>
      </c>
      <c r="G53" s="4"/>
      <c r="H53" s="11"/>
      <c r="I53" s="4" t="s">
        <v>83</v>
      </c>
      <c r="J53" s="4" t="s">
        <v>66</v>
      </c>
      <c r="K53" s="4" t="s">
        <v>470</v>
      </c>
      <c r="L53" s="4" t="s">
        <v>471</v>
      </c>
      <c r="M53" s="4" t="s">
        <v>472</v>
      </c>
      <c r="N53" s="4" t="s">
        <v>473</v>
      </c>
      <c r="O53" s="16" t="s">
        <v>97</v>
      </c>
      <c r="P53" s="15" t="s">
        <v>5</v>
      </c>
      <c r="Q53" s="4" t="s">
        <v>5</v>
      </c>
      <c r="R53" s="4" t="s">
        <v>74</v>
      </c>
      <c r="S53" s="4" t="s">
        <v>74</v>
      </c>
      <c r="T53" s="4" t="s">
        <v>74</v>
      </c>
      <c r="U53" s="4" t="s">
        <v>98</v>
      </c>
      <c r="V53" s="13" t="s">
        <v>9</v>
      </c>
      <c r="W53" s="4" t="s">
        <v>455</v>
      </c>
      <c r="X53" s="4" t="s">
        <v>474</v>
      </c>
      <c r="Y53" s="4" t="s">
        <v>475</v>
      </c>
      <c r="Z53" s="4"/>
      <c r="AA53" s="4" t="s">
        <v>476</v>
      </c>
    </row>
    <row r="54" customFormat="false" ht="46.25" hidden="false" customHeight="false" outlineLevel="0" collapsed="false">
      <c r="A54" s="4" t="s">
        <v>477</v>
      </c>
      <c r="B54" s="4" t="s">
        <v>478</v>
      </c>
      <c r="C54" s="4" t="s">
        <v>16</v>
      </c>
      <c r="D54" s="4" t="s">
        <v>479</v>
      </c>
      <c r="E54" s="4" t="s">
        <v>62</v>
      </c>
      <c r="F54" s="4" t="s">
        <v>469</v>
      </c>
      <c r="G54" s="4"/>
      <c r="H54" s="11"/>
      <c r="I54" s="4" t="s">
        <v>130</v>
      </c>
      <c r="J54" s="4" t="s">
        <v>66</v>
      </c>
      <c r="K54" s="4" t="s">
        <v>451</v>
      </c>
      <c r="L54" s="4" t="s">
        <v>480</v>
      </c>
      <c r="M54" s="4" t="s">
        <v>481</v>
      </c>
      <c r="N54" s="4" t="s">
        <v>482</v>
      </c>
      <c r="O54" s="16" t="s">
        <v>97</v>
      </c>
      <c r="P54" s="15" t="s">
        <v>5</v>
      </c>
      <c r="Q54" s="4" t="s">
        <v>5</v>
      </c>
      <c r="R54" s="4" t="s">
        <v>74</v>
      </c>
      <c r="S54" s="4" t="s">
        <v>74</v>
      </c>
      <c r="T54" s="4" t="s">
        <v>74</v>
      </c>
      <c r="U54" s="4" t="s">
        <v>98</v>
      </c>
      <c r="V54" s="13" t="s">
        <v>9</v>
      </c>
      <c r="W54" s="4" t="s">
        <v>455</v>
      </c>
      <c r="X54" s="4" t="s">
        <v>483</v>
      </c>
      <c r="Y54" s="4" t="s">
        <v>475</v>
      </c>
      <c r="Z54" s="4"/>
      <c r="AA54" s="4" t="s">
        <v>476</v>
      </c>
    </row>
    <row r="55" customFormat="false" ht="46.25" hidden="false" customHeight="false" outlineLevel="0" collapsed="false">
      <c r="A55" s="4" t="s">
        <v>484</v>
      </c>
      <c r="B55" s="4" t="s">
        <v>485</v>
      </c>
      <c r="C55" s="4" t="s">
        <v>16</v>
      </c>
      <c r="D55" s="4" t="s">
        <v>486</v>
      </c>
      <c r="E55" s="4" t="s">
        <v>62</v>
      </c>
      <c r="F55" s="4" t="s">
        <v>487</v>
      </c>
      <c r="G55" s="4" t="s">
        <v>488</v>
      </c>
      <c r="H55" s="11"/>
      <c r="I55" s="4" t="s">
        <v>83</v>
      </c>
      <c r="J55" s="4" t="s">
        <v>66</v>
      </c>
      <c r="K55" s="4" t="s">
        <v>451</v>
      </c>
      <c r="L55" s="4" t="s">
        <v>489</v>
      </c>
      <c r="M55" s="4" t="s">
        <v>490</v>
      </c>
      <c r="N55" s="4" t="s">
        <v>491</v>
      </c>
      <c r="O55" s="14" t="s">
        <v>88</v>
      </c>
      <c r="P55" s="15" t="s">
        <v>5</v>
      </c>
      <c r="Q55" s="4" t="s">
        <v>72</v>
      </c>
      <c r="R55" s="4" t="s">
        <v>74</v>
      </c>
      <c r="S55" s="4" t="s">
        <v>74</v>
      </c>
      <c r="T55" s="4" t="s">
        <v>74</v>
      </c>
      <c r="U55" s="4" t="s">
        <v>75</v>
      </c>
      <c r="V55" s="13" t="s">
        <v>9</v>
      </c>
      <c r="W55" s="4" t="s">
        <v>455</v>
      </c>
      <c r="X55" s="4" t="s">
        <v>492</v>
      </c>
      <c r="Y55" s="4" t="s">
        <v>475</v>
      </c>
      <c r="Z55" s="4"/>
      <c r="AA55" s="4" t="s">
        <v>493</v>
      </c>
    </row>
    <row r="56" customFormat="false" ht="46.25" hidden="false" customHeight="false" outlineLevel="0" collapsed="false">
      <c r="A56" s="4" t="s">
        <v>494</v>
      </c>
      <c r="B56" s="4" t="s">
        <v>495</v>
      </c>
      <c r="C56" s="4" t="s">
        <v>16</v>
      </c>
      <c r="D56" s="4" t="s">
        <v>496</v>
      </c>
      <c r="E56" s="4" t="s">
        <v>62</v>
      </c>
      <c r="F56" s="4" t="s">
        <v>469</v>
      </c>
      <c r="G56" s="4"/>
      <c r="H56" s="11"/>
      <c r="I56" s="4" t="s">
        <v>65</v>
      </c>
      <c r="J56" s="4" t="s">
        <v>66</v>
      </c>
      <c r="K56" s="4" t="s">
        <v>451</v>
      </c>
      <c r="L56" s="4" t="s">
        <v>497</v>
      </c>
      <c r="M56" s="4" t="s">
        <v>498</v>
      </c>
      <c r="N56" s="4" t="s">
        <v>499</v>
      </c>
      <c r="O56" s="16" t="s">
        <v>97</v>
      </c>
      <c r="P56" s="15" t="s">
        <v>5</v>
      </c>
      <c r="Q56" s="4" t="s">
        <v>5</v>
      </c>
      <c r="R56" s="4" t="s">
        <v>74</v>
      </c>
      <c r="S56" s="4" t="s">
        <v>74</v>
      </c>
      <c r="T56" s="4" t="s">
        <v>74</v>
      </c>
      <c r="U56" s="4" t="s">
        <v>98</v>
      </c>
      <c r="V56" s="13" t="s">
        <v>9</v>
      </c>
      <c r="W56" s="4" t="s">
        <v>455</v>
      </c>
      <c r="X56" s="4" t="s">
        <v>500</v>
      </c>
      <c r="Y56" s="4"/>
      <c r="Z56" s="4"/>
      <c r="AA56" s="4" t="s">
        <v>476</v>
      </c>
    </row>
    <row r="57" customFormat="false" ht="46.25" hidden="false" customHeight="false" outlineLevel="0" collapsed="false">
      <c r="A57" s="4" t="s">
        <v>501</v>
      </c>
      <c r="B57" s="4" t="s">
        <v>502</v>
      </c>
      <c r="C57" s="4" t="s">
        <v>16</v>
      </c>
      <c r="D57" s="4" t="s">
        <v>503</v>
      </c>
      <c r="E57" s="4" t="s">
        <v>62</v>
      </c>
      <c r="F57" s="4" t="s">
        <v>450</v>
      </c>
      <c r="G57" s="4" t="s">
        <v>398</v>
      </c>
      <c r="H57" s="11"/>
      <c r="I57" s="4" t="s">
        <v>65</v>
      </c>
      <c r="J57" s="4" t="s">
        <v>66</v>
      </c>
      <c r="K57" s="4" t="s">
        <v>451</v>
      </c>
      <c r="L57" s="4" t="s">
        <v>504</v>
      </c>
      <c r="M57" s="4" t="s">
        <v>106</v>
      </c>
      <c r="N57" s="4" t="s">
        <v>505</v>
      </c>
      <c r="O57" s="14" t="s">
        <v>88</v>
      </c>
      <c r="P57" s="15" t="s">
        <v>5</v>
      </c>
      <c r="Q57" s="4" t="s">
        <v>72</v>
      </c>
      <c r="R57" s="4" t="s">
        <v>74</v>
      </c>
      <c r="S57" s="4" t="s">
        <v>74</v>
      </c>
      <c r="T57" s="4" t="s">
        <v>74</v>
      </c>
      <c r="U57" s="4" t="s">
        <v>75</v>
      </c>
      <c r="V57" s="13" t="s">
        <v>9</v>
      </c>
      <c r="W57" s="4" t="s">
        <v>455</v>
      </c>
      <c r="X57" s="4"/>
      <c r="Y57" s="4"/>
      <c r="Z57" s="4"/>
      <c r="AA57" s="4" t="s">
        <v>493</v>
      </c>
    </row>
    <row r="58" customFormat="false" ht="46.25" hidden="false" customHeight="false" outlineLevel="0" collapsed="false">
      <c r="A58" s="4" t="s">
        <v>506</v>
      </c>
      <c r="B58" s="4" t="s">
        <v>507</v>
      </c>
      <c r="C58" s="4" t="s">
        <v>17</v>
      </c>
      <c r="D58" s="4" t="s">
        <v>508</v>
      </c>
      <c r="E58" s="4" t="s">
        <v>62</v>
      </c>
      <c r="F58" s="4" t="s">
        <v>509</v>
      </c>
      <c r="G58" s="4"/>
      <c r="H58" s="11"/>
      <c r="I58" s="4" t="s">
        <v>65</v>
      </c>
      <c r="J58" s="4" t="s">
        <v>66</v>
      </c>
      <c r="K58" s="4" t="s">
        <v>510</v>
      </c>
      <c r="L58" s="4" t="s">
        <v>511</v>
      </c>
      <c r="M58" s="4" t="s">
        <v>106</v>
      </c>
      <c r="N58" s="4" t="s">
        <v>512</v>
      </c>
      <c r="O58" s="14" t="s">
        <v>88</v>
      </c>
      <c r="P58" s="15" t="s">
        <v>5</v>
      </c>
      <c r="Q58" s="4" t="s">
        <v>72</v>
      </c>
      <c r="R58" s="4" t="s">
        <v>74</v>
      </c>
      <c r="S58" s="4" t="s">
        <v>73</v>
      </c>
      <c r="T58" s="4" t="s">
        <v>74</v>
      </c>
      <c r="U58" s="4" t="s">
        <v>98</v>
      </c>
      <c r="V58" s="13" t="s">
        <v>9</v>
      </c>
      <c r="W58" s="4" t="s">
        <v>513</v>
      </c>
      <c r="X58" s="4"/>
      <c r="Y58" s="4"/>
      <c r="Z58" s="4"/>
      <c r="AA58" s="4" t="s">
        <v>514</v>
      </c>
    </row>
    <row r="59" customFormat="false" ht="46.25" hidden="false" customHeight="false" outlineLevel="0" collapsed="false">
      <c r="A59" s="4" t="s">
        <v>515</v>
      </c>
      <c r="B59" s="4" t="s">
        <v>516</v>
      </c>
      <c r="C59" s="4" t="s">
        <v>17</v>
      </c>
      <c r="D59" s="4" t="s">
        <v>517</v>
      </c>
      <c r="E59" s="4" t="s">
        <v>62</v>
      </c>
      <c r="F59" s="4" t="s">
        <v>509</v>
      </c>
      <c r="G59" s="4" t="s">
        <v>518</v>
      </c>
      <c r="H59" s="11"/>
      <c r="I59" s="4" t="s">
        <v>130</v>
      </c>
      <c r="J59" s="4" t="s">
        <v>519</v>
      </c>
      <c r="K59" s="4" t="s">
        <v>510</v>
      </c>
      <c r="L59" s="4" t="s">
        <v>520</v>
      </c>
      <c r="M59" s="4" t="s">
        <v>521</v>
      </c>
      <c r="N59" s="4" t="s">
        <v>522</v>
      </c>
      <c r="O59" s="14" t="s">
        <v>88</v>
      </c>
      <c r="P59" s="12" t="s">
        <v>72</v>
      </c>
      <c r="Q59" s="4" t="s">
        <v>72</v>
      </c>
      <c r="R59" s="4" t="s">
        <v>73</v>
      </c>
      <c r="S59" s="4" t="s">
        <v>74</v>
      </c>
      <c r="T59" s="4" t="s">
        <v>74</v>
      </c>
      <c r="U59" s="4" t="s">
        <v>75</v>
      </c>
      <c r="V59" s="13" t="s">
        <v>9</v>
      </c>
      <c r="W59" s="4" t="s">
        <v>513</v>
      </c>
      <c r="X59" s="4"/>
      <c r="Y59" s="4"/>
      <c r="Z59" s="4"/>
      <c r="AA59" s="4" t="s">
        <v>523</v>
      </c>
    </row>
    <row r="60" customFormat="false" ht="46.25" hidden="false" customHeight="false" outlineLevel="0" collapsed="false">
      <c r="A60" s="4" t="s">
        <v>524</v>
      </c>
      <c r="B60" s="4" t="s">
        <v>525</v>
      </c>
      <c r="C60" s="4" t="s">
        <v>17</v>
      </c>
      <c r="D60" s="4" t="s">
        <v>526</v>
      </c>
      <c r="E60" s="4" t="s">
        <v>62</v>
      </c>
      <c r="F60" s="4" t="s">
        <v>509</v>
      </c>
      <c r="G60" s="4" t="s">
        <v>518</v>
      </c>
      <c r="H60" s="11"/>
      <c r="I60" s="4" t="s">
        <v>130</v>
      </c>
      <c r="J60" s="4" t="s">
        <v>519</v>
      </c>
      <c r="K60" s="4" t="s">
        <v>510</v>
      </c>
      <c r="L60" s="4" t="s">
        <v>527</v>
      </c>
      <c r="M60" s="4" t="s">
        <v>528</v>
      </c>
      <c r="N60" s="4" t="s">
        <v>529</v>
      </c>
      <c r="O60" s="14" t="s">
        <v>88</v>
      </c>
      <c r="P60" s="15" t="s">
        <v>5</v>
      </c>
      <c r="Q60" s="4" t="s">
        <v>72</v>
      </c>
      <c r="R60" s="4" t="s">
        <v>74</v>
      </c>
      <c r="S60" s="4" t="s">
        <v>74</v>
      </c>
      <c r="T60" s="4" t="s">
        <v>74</v>
      </c>
      <c r="U60" s="4" t="s">
        <v>75</v>
      </c>
      <c r="V60" s="13" t="s">
        <v>9</v>
      </c>
      <c r="W60" s="4" t="s">
        <v>513</v>
      </c>
      <c r="X60" s="4"/>
      <c r="Y60" s="4"/>
      <c r="Z60" s="4"/>
      <c r="AA60" s="4" t="s">
        <v>530</v>
      </c>
    </row>
    <row r="61" customFormat="false" ht="57.45" hidden="false" customHeight="false" outlineLevel="0" collapsed="false">
      <c r="A61" s="4" t="s">
        <v>531</v>
      </c>
      <c r="B61" s="4" t="s">
        <v>532</v>
      </c>
      <c r="C61" s="4" t="s">
        <v>17</v>
      </c>
      <c r="D61" s="4" t="s">
        <v>533</v>
      </c>
      <c r="E61" s="4" t="s">
        <v>62</v>
      </c>
      <c r="F61" s="4" t="s">
        <v>509</v>
      </c>
      <c r="G61" s="4"/>
      <c r="H61" s="11"/>
      <c r="I61" s="4" t="s">
        <v>83</v>
      </c>
      <c r="J61" s="4" t="s">
        <v>66</v>
      </c>
      <c r="K61" s="4" t="s">
        <v>510</v>
      </c>
      <c r="L61" s="4" t="s">
        <v>534</v>
      </c>
      <c r="M61" s="4" t="s">
        <v>106</v>
      </c>
      <c r="N61" s="4" t="s">
        <v>535</v>
      </c>
      <c r="O61" s="16" t="s">
        <v>97</v>
      </c>
      <c r="P61" s="15" t="s">
        <v>5</v>
      </c>
      <c r="Q61" s="4" t="s">
        <v>5</v>
      </c>
      <c r="R61" s="4" t="s">
        <v>74</v>
      </c>
      <c r="S61" s="4" t="s">
        <v>74</v>
      </c>
      <c r="T61" s="4" t="s">
        <v>74</v>
      </c>
      <c r="U61" s="4" t="s">
        <v>98</v>
      </c>
      <c r="V61" s="13" t="s">
        <v>9</v>
      </c>
      <c r="W61" s="4" t="s">
        <v>513</v>
      </c>
      <c r="X61" s="4"/>
      <c r="Y61" s="4"/>
      <c r="Z61" s="4"/>
      <c r="AA61" s="4" t="s">
        <v>536</v>
      </c>
    </row>
    <row r="62" customFormat="false" ht="46.25" hidden="false" customHeight="false" outlineLevel="0" collapsed="false">
      <c r="A62" s="4" t="s">
        <v>537</v>
      </c>
      <c r="B62" s="4" t="s">
        <v>538</v>
      </c>
      <c r="C62" s="4" t="s">
        <v>17</v>
      </c>
      <c r="D62" s="4" t="s">
        <v>539</v>
      </c>
      <c r="E62" s="4" t="s">
        <v>62</v>
      </c>
      <c r="F62" s="4" t="s">
        <v>540</v>
      </c>
      <c r="G62" s="4" t="s">
        <v>541</v>
      </c>
      <c r="H62" s="11"/>
      <c r="I62" s="4" t="s">
        <v>83</v>
      </c>
      <c r="J62" s="4" t="s">
        <v>519</v>
      </c>
      <c r="K62" s="4" t="s">
        <v>510</v>
      </c>
      <c r="L62" s="4" t="s">
        <v>542</v>
      </c>
      <c r="M62" s="4" t="s">
        <v>543</v>
      </c>
      <c r="N62" s="4" t="s">
        <v>544</v>
      </c>
      <c r="O62" s="14" t="s">
        <v>88</v>
      </c>
      <c r="P62" s="12" t="s">
        <v>72</v>
      </c>
      <c r="Q62" s="4" t="s">
        <v>72</v>
      </c>
      <c r="R62" s="4" t="s">
        <v>73</v>
      </c>
      <c r="S62" s="4" t="s">
        <v>74</v>
      </c>
      <c r="T62" s="4" t="s">
        <v>74</v>
      </c>
      <c r="U62" s="4" t="s">
        <v>75</v>
      </c>
      <c r="V62" s="13" t="s">
        <v>9</v>
      </c>
      <c r="W62" s="4" t="s">
        <v>513</v>
      </c>
      <c r="X62" s="4"/>
      <c r="Y62" s="4"/>
      <c r="Z62" s="4"/>
      <c r="AA62" s="4" t="s">
        <v>523</v>
      </c>
    </row>
    <row r="63" customFormat="false" ht="46.25" hidden="false" customHeight="false" outlineLevel="0" collapsed="false">
      <c r="A63" s="4" t="s">
        <v>545</v>
      </c>
      <c r="B63" s="4" t="s">
        <v>546</v>
      </c>
      <c r="C63" s="4" t="s">
        <v>17</v>
      </c>
      <c r="D63" s="4" t="s">
        <v>547</v>
      </c>
      <c r="E63" s="4" t="s">
        <v>62</v>
      </c>
      <c r="F63" s="4" t="s">
        <v>548</v>
      </c>
      <c r="G63" s="4"/>
      <c r="H63" s="11"/>
      <c r="I63" s="4" t="s">
        <v>65</v>
      </c>
      <c r="J63" s="4" t="s">
        <v>66</v>
      </c>
      <c r="K63" s="4" t="s">
        <v>510</v>
      </c>
      <c r="L63" s="4" t="s">
        <v>549</v>
      </c>
      <c r="M63" s="4" t="s">
        <v>106</v>
      </c>
      <c r="N63" s="4" t="s">
        <v>550</v>
      </c>
      <c r="O63" s="13" t="s">
        <v>172</v>
      </c>
      <c r="P63" s="15" t="s">
        <v>6</v>
      </c>
      <c r="Q63" s="4" t="s">
        <v>6</v>
      </c>
      <c r="R63" s="4" t="s">
        <v>74</v>
      </c>
      <c r="S63" s="4" t="s">
        <v>74</v>
      </c>
      <c r="T63" s="4" t="s">
        <v>74</v>
      </c>
      <c r="U63" s="4" t="s">
        <v>98</v>
      </c>
      <c r="V63" s="13" t="s">
        <v>9</v>
      </c>
      <c r="W63" s="4" t="s">
        <v>513</v>
      </c>
      <c r="X63" s="4"/>
      <c r="Y63" s="4"/>
      <c r="Z63" s="4"/>
      <c r="AA63" s="4" t="s">
        <v>551</v>
      </c>
    </row>
    <row r="64" customFormat="false" ht="46.25" hidden="false" customHeight="false" outlineLevel="0" collapsed="false">
      <c r="A64" s="4" t="s">
        <v>552</v>
      </c>
      <c r="B64" s="4" t="s">
        <v>553</v>
      </c>
      <c r="C64" s="4" t="s">
        <v>17</v>
      </c>
      <c r="D64" s="4" t="s">
        <v>554</v>
      </c>
      <c r="E64" s="4" t="s">
        <v>62</v>
      </c>
      <c r="F64" s="4" t="s">
        <v>548</v>
      </c>
      <c r="G64" s="4"/>
      <c r="H64" s="11"/>
      <c r="I64" s="4" t="s">
        <v>65</v>
      </c>
      <c r="J64" s="4" t="s">
        <v>66</v>
      </c>
      <c r="K64" s="4" t="s">
        <v>510</v>
      </c>
      <c r="L64" s="4" t="s">
        <v>555</v>
      </c>
      <c r="M64" s="4" t="s">
        <v>106</v>
      </c>
      <c r="N64" s="4" t="s">
        <v>556</v>
      </c>
      <c r="O64" s="13" t="s">
        <v>172</v>
      </c>
      <c r="P64" s="15" t="s">
        <v>6</v>
      </c>
      <c r="Q64" s="4" t="s">
        <v>6</v>
      </c>
      <c r="R64" s="4" t="s">
        <v>74</v>
      </c>
      <c r="S64" s="4" t="s">
        <v>74</v>
      </c>
      <c r="T64" s="4" t="s">
        <v>74</v>
      </c>
      <c r="U64" s="4" t="s">
        <v>98</v>
      </c>
      <c r="V64" s="13" t="s">
        <v>9</v>
      </c>
      <c r="W64" s="4" t="s">
        <v>513</v>
      </c>
      <c r="X64" s="4"/>
      <c r="Y64" s="4"/>
      <c r="Z64" s="4"/>
      <c r="AA64" s="4" t="s">
        <v>551</v>
      </c>
    </row>
    <row r="65" customFormat="false" ht="46.25" hidden="false" customHeight="false" outlineLevel="0" collapsed="false">
      <c r="A65" s="4" t="s">
        <v>557</v>
      </c>
      <c r="B65" s="4" t="s">
        <v>558</v>
      </c>
      <c r="C65" s="4" t="s">
        <v>17</v>
      </c>
      <c r="D65" s="4" t="s">
        <v>559</v>
      </c>
      <c r="E65" s="4" t="s">
        <v>62</v>
      </c>
      <c r="F65" s="4" t="s">
        <v>560</v>
      </c>
      <c r="G65" s="4" t="s">
        <v>561</v>
      </c>
      <c r="H65" s="11"/>
      <c r="I65" s="4" t="s">
        <v>83</v>
      </c>
      <c r="J65" s="4" t="s">
        <v>131</v>
      </c>
      <c r="K65" s="4" t="s">
        <v>510</v>
      </c>
      <c r="L65" s="4" t="s">
        <v>562</v>
      </c>
      <c r="M65" s="4" t="s">
        <v>106</v>
      </c>
      <c r="N65" s="4" t="s">
        <v>563</v>
      </c>
      <c r="O65" s="16" t="s">
        <v>97</v>
      </c>
      <c r="P65" s="15" t="s">
        <v>5</v>
      </c>
      <c r="Q65" s="4" t="s">
        <v>5</v>
      </c>
      <c r="R65" s="4" t="s">
        <v>74</v>
      </c>
      <c r="S65" s="4" t="s">
        <v>74</v>
      </c>
      <c r="T65" s="4" t="s">
        <v>74</v>
      </c>
      <c r="U65" s="4" t="s">
        <v>75</v>
      </c>
      <c r="V65" s="13" t="s">
        <v>9</v>
      </c>
      <c r="W65" s="4" t="s">
        <v>513</v>
      </c>
      <c r="X65" s="4"/>
      <c r="Y65" s="4"/>
      <c r="Z65" s="4"/>
      <c r="AA65" s="4" t="s">
        <v>530</v>
      </c>
    </row>
    <row r="66" customFormat="false" ht="46.25" hidden="false" customHeight="false" outlineLevel="0" collapsed="false">
      <c r="A66" s="4" t="s">
        <v>564</v>
      </c>
      <c r="B66" s="4" t="s">
        <v>565</v>
      </c>
      <c r="C66" s="4" t="s">
        <v>17</v>
      </c>
      <c r="D66" s="4" t="s">
        <v>566</v>
      </c>
      <c r="E66" s="4" t="s">
        <v>62</v>
      </c>
      <c r="F66" s="4" t="s">
        <v>567</v>
      </c>
      <c r="G66" s="4"/>
      <c r="H66" s="11"/>
      <c r="I66" s="4" t="s">
        <v>65</v>
      </c>
      <c r="J66" s="4" t="s">
        <v>66</v>
      </c>
      <c r="K66" s="4" t="s">
        <v>510</v>
      </c>
      <c r="L66" s="4" t="s">
        <v>568</v>
      </c>
      <c r="M66" s="4" t="s">
        <v>106</v>
      </c>
      <c r="N66" s="4" t="s">
        <v>569</v>
      </c>
      <c r="O66" s="16" t="s">
        <v>97</v>
      </c>
      <c r="P66" s="15" t="s">
        <v>5</v>
      </c>
      <c r="Q66" s="4" t="s">
        <v>5</v>
      </c>
      <c r="R66" s="4" t="s">
        <v>74</v>
      </c>
      <c r="S66" s="4" t="s">
        <v>74</v>
      </c>
      <c r="T66" s="4" t="s">
        <v>74</v>
      </c>
      <c r="U66" s="4" t="s">
        <v>98</v>
      </c>
      <c r="V66" s="13" t="s">
        <v>9</v>
      </c>
      <c r="W66" s="4" t="s">
        <v>513</v>
      </c>
      <c r="X66" s="4"/>
      <c r="Y66" s="4"/>
      <c r="Z66" s="4"/>
      <c r="AA66" s="4" t="s">
        <v>536</v>
      </c>
    </row>
    <row r="67" customFormat="false" ht="46.25" hidden="false" customHeight="false" outlineLevel="0" collapsed="false">
      <c r="A67" s="4" t="s">
        <v>570</v>
      </c>
      <c r="B67" s="4" t="s">
        <v>571</v>
      </c>
      <c r="C67" s="4" t="s">
        <v>17</v>
      </c>
      <c r="D67" s="4" t="s">
        <v>572</v>
      </c>
      <c r="E67" s="4" t="s">
        <v>152</v>
      </c>
      <c r="F67" s="4" t="s">
        <v>509</v>
      </c>
      <c r="G67" s="4"/>
      <c r="H67" s="11"/>
      <c r="I67" s="4" t="s">
        <v>83</v>
      </c>
      <c r="J67" s="4" t="s">
        <v>66</v>
      </c>
      <c r="K67" s="4" t="s">
        <v>510</v>
      </c>
      <c r="L67" s="4" t="s">
        <v>573</v>
      </c>
      <c r="M67" s="4" t="s">
        <v>106</v>
      </c>
      <c r="N67" s="4" t="s">
        <v>574</v>
      </c>
      <c r="O67" s="14" t="s">
        <v>88</v>
      </c>
      <c r="P67" s="15" t="s">
        <v>5</v>
      </c>
      <c r="Q67" s="4" t="s">
        <v>72</v>
      </c>
      <c r="R67" s="4" t="s">
        <v>74</v>
      </c>
      <c r="S67" s="4" t="s">
        <v>74</v>
      </c>
      <c r="T67" s="4" t="s">
        <v>74</v>
      </c>
      <c r="U67" s="4" t="s">
        <v>98</v>
      </c>
      <c r="V67" s="13" t="s">
        <v>9</v>
      </c>
      <c r="W67" s="4" t="s">
        <v>513</v>
      </c>
      <c r="X67" s="4"/>
      <c r="Y67" s="4"/>
      <c r="Z67" s="4"/>
      <c r="AA67" s="4" t="s">
        <v>536</v>
      </c>
    </row>
    <row r="68" customFormat="false" ht="46.25" hidden="false" customHeight="false" outlineLevel="0" collapsed="false">
      <c r="A68" s="4" t="s">
        <v>575</v>
      </c>
      <c r="B68" s="4" t="s">
        <v>576</v>
      </c>
      <c r="C68" s="4" t="s">
        <v>17</v>
      </c>
      <c r="D68" s="4" t="s">
        <v>577</v>
      </c>
      <c r="E68" s="4" t="s">
        <v>152</v>
      </c>
      <c r="F68" s="4" t="s">
        <v>548</v>
      </c>
      <c r="G68" s="4"/>
      <c r="H68" s="11"/>
      <c r="I68" s="4" t="s">
        <v>65</v>
      </c>
      <c r="J68" s="4" t="s">
        <v>66</v>
      </c>
      <c r="K68" s="4" t="s">
        <v>510</v>
      </c>
      <c r="L68" s="4" t="s">
        <v>578</v>
      </c>
      <c r="M68" s="4" t="s">
        <v>106</v>
      </c>
      <c r="N68" s="4" t="s">
        <v>579</v>
      </c>
      <c r="O68" s="16" t="s">
        <v>97</v>
      </c>
      <c r="P68" s="15" t="s">
        <v>5</v>
      </c>
      <c r="Q68" s="4" t="s">
        <v>5</v>
      </c>
      <c r="R68" s="4" t="s">
        <v>74</v>
      </c>
      <c r="S68" s="4" t="s">
        <v>74</v>
      </c>
      <c r="T68" s="4" t="s">
        <v>74</v>
      </c>
      <c r="U68" s="4" t="s">
        <v>98</v>
      </c>
      <c r="V68" s="13" t="s">
        <v>9</v>
      </c>
      <c r="W68" s="4" t="s">
        <v>513</v>
      </c>
      <c r="X68" s="4"/>
      <c r="Y68" s="4"/>
      <c r="Z68" s="4"/>
      <c r="AA68" s="4" t="s">
        <v>536</v>
      </c>
    </row>
    <row r="69" customFormat="false" ht="46.25" hidden="false" customHeight="false" outlineLevel="0" collapsed="false">
      <c r="A69" s="4" t="s">
        <v>580</v>
      </c>
      <c r="B69" s="4" t="s">
        <v>581</v>
      </c>
      <c r="C69" s="4" t="s">
        <v>18</v>
      </c>
      <c r="D69" s="4" t="s">
        <v>582</v>
      </c>
      <c r="E69" s="4" t="s">
        <v>62</v>
      </c>
      <c r="F69" s="4" t="s">
        <v>316</v>
      </c>
      <c r="G69" s="4"/>
      <c r="H69" s="11"/>
      <c r="I69" s="4" t="s">
        <v>65</v>
      </c>
      <c r="J69" s="4" t="s">
        <v>66</v>
      </c>
      <c r="K69" s="4" t="s">
        <v>583</v>
      </c>
      <c r="L69" s="4" t="s">
        <v>584</v>
      </c>
      <c r="M69" s="4" t="s">
        <v>585</v>
      </c>
      <c r="N69" s="4" t="s">
        <v>586</v>
      </c>
      <c r="O69" s="14" t="s">
        <v>88</v>
      </c>
      <c r="P69" s="15" t="s">
        <v>5</v>
      </c>
      <c r="Q69" s="4" t="s">
        <v>72</v>
      </c>
      <c r="R69" s="4" t="s">
        <v>74</v>
      </c>
      <c r="S69" s="4" t="s">
        <v>73</v>
      </c>
      <c r="T69" s="4" t="s">
        <v>74</v>
      </c>
      <c r="U69" s="4" t="s">
        <v>98</v>
      </c>
      <c r="V69" s="13" t="s">
        <v>9</v>
      </c>
      <c r="W69" s="4" t="s">
        <v>587</v>
      </c>
      <c r="X69" s="4"/>
      <c r="Y69" s="4"/>
      <c r="Z69" s="4"/>
      <c r="AA69" s="4" t="s">
        <v>588</v>
      </c>
    </row>
    <row r="70" customFormat="false" ht="46.25" hidden="false" customHeight="false" outlineLevel="0" collapsed="false">
      <c r="A70" s="4" t="s">
        <v>589</v>
      </c>
      <c r="B70" s="4" t="s">
        <v>590</v>
      </c>
      <c r="C70" s="4" t="s">
        <v>18</v>
      </c>
      <c r="D70" s="4" t="s">
        <v>591</v>
      </c>
      <c r="E70" s="4" t="s">
        <v>62</v>
      </c>
      <c r="F70" s="4" t="s">
        <v>316</v>
      </c>
      <c r="G70" s="4"/>
      <c r="H70" s="11"/>
      <c r="I70" s="4" t="s">
        <v>83</v>
      </c>
      <c r="J70" s="4" t="s">
        <v>131</v>
      </c>
      <c r="K70" s="4" t="s">
        <v>583</v>
      </c>
      <c r="L70" s="4" t="s">
        <v>592</v>
      </c>
      <c r="M70" s="4" t="s">
        <v>106</v>
      </c>
      <c r="N70" s="4" t="s">
        <v>593</v>
      </c>
      <c r="O70" s="16" t="s">
        <v>97</v>
      </c>
      <c r="P70" s="15" t="s">
        <v>5</v>
      </c>
      <c r="Q70" s="4" t="s">
        <v>5</v>
      </c>
      <c r="R70" s="4" t="s">
        <v>74</v>
      </c>
      <c r="S70" s="4" t="s">
        <v>74</v>
      </c>
      <c r="T70" s="4" t="s">
        <v>74</v>
      </c>
      <c r="U70" s="4" t="s">
        <v>98</v>
      </c>
      <c r="V70" s="13" t="s">
        <v>9</v>
      </c>
      <c r="W70" s="4" t="s">
        <v>587</v>
      </c>
      <c r="X70" s="4"/>
      <c r="Y70" s="4"/>
      <c r="Z70" s="4"/>
      <c r="AA70" s="4" t="s">
        <v>594</v>
      </c>
    </row>
    <row r="71" customFormat="false" ht="46.25" hidden="false" customHeight="false" outlineLevel="0" collapsed="false">
      <c r="A71" s="4" t="s">
        <v>595</v>
      </c>
      <c r="B71" s="4" t="s">
        <v>596</v>
      </c>
      <c r="C71" s="4" t="s">
        <v>18</v>
      </c>
      <c r="D71" s="4" t="s">
        <v>597</v>
      </c>
      <c r="E71" s="4" t="s">
        <v>62</v>
      </c>
      <c r="F71" s="4" t="s">
        <v>316</v>
      </c>
      <c r="G71" s="4"/>
      <c r="H71" s="11"/>
      <c r="I71" s="4" t="s">
        <v>130</v>
      </c>
      <c r="J71" s="4" t="s">
        <v>66</v>
      </c>
      <c r="K71" s="4" t="s">
        <v>583</v>
      </c>
      <c r="L71" s="4" t="s">
        <v>598</v>
      </c>
      <c r="M71" s="4" t="s">
        <v>599</v>
      </c>
      <c r="N71" s="4" t="s">
        <v>600</v>
      </c>
      <c r="O71" s="16" t="s">
        <v>97</v>
      </c>
      <c r="P71" s="15" t="s">
        <v>5</v>
      </c>
      <c r="Q71" s="4" t="s">
        <v>5</v>
      </c>
      <c r="R71" s="4" t="s">
        <v>74</v>
      </c>
      <c r="S71" s="4" t="s">
        <v>74</v>
      </c>
      <c r="T71" s="4" t="s">
        <v>74</v>
      </c>
      <c r="U71" s="4" t="s">
        <v>98</v>
      </c>
      <c r="V71" s="13" t="s">
        <v>9</v>
      </c>
      <c r="W71" s="4" t="s">
        <v>587</v>
      </c>
      <c r="X71" s="4" t="s">
        <v>601</v>
      </c>
      <c r="Y71" s="4" t="s">
        <v>602</v>
      </c>
      <c r="Z71" s="4"/>
      <c r="AA71" s="4" t="s">
        <v>603</v>
      </c>
    </row>
    <row r="72" customFormat="false" ht="46.25" hidden="false" customHeight="false" outlineLevel="0" collapsed="false">
      <c r="A72" s="4" t="s">
        <v>604</v>
      </c>
      <c r="B72" s="4" t="s">
        <v>605</v>
      </c>
      <c r="C72" s="4" t="s">
        <v>18</v>
      </c>
      <c r="D72" s="4" t="s">
        <v>606</v>
      </c>
      <c r="E72" s="4" t="s">
        <v>62</v>
      </c>
      <c r="F72" s="4" t="s">
        <v>607</v>
      </c>
      <c r="G72" s="4" t="s">
        <v>608</v>
      </c>
      <c r="H72" s="11"/>
      <c r="I72" s="4" t="s">
        <v>83</v>
      </c>
      <c r="J72" s="4" t="s">
        <v>519</v>
      </c>
      <c r="K72" s="4" t="s">
        <v>583</v>
      </c>
      <c r="L72" s="4" t="s">
        <v>609</v>
      </c>
      <c r="M72" s="4" t="s">
        <v>106</v>
      </c>
      <c r="N72" s="4" t="s">
        <v>610</v>
      </c>
      <c r="O72" s="12" t="s">
        <v>71</v>
      </c>
      <c r="P72" s="12" t="s">
        <v>72</v>
      </c>
      <c r="Q72" s="4" t="s">
        <v>72</v>
      </c>
      <c r="R72" s="4" t="s">
        <v>73</v>
      </c>
      <c r="S72" s="4" t="s">
        <v>74</v>
      </c>
      <c r="T72" s="4" t="s">
        <v>74</v>
      </c>
      <c r="U72" s="4" t="s">
        <v>75</v>
      </c>
      <c r="V72" s="13" t="s">
        <v>9</v>
      </c>
      <c r="W72" s="4" t="s">
        <v>587</v>
      </c>
      <c r="X72" s="4"/>
      <c r="Y72" s="4"/>
      <c r="Z72" s="4"/>
      <c r="AA72" s="4" t="s">
        <v>611</v>
      </c>
    </row>
    <row r="73" customFormat="false" ht="35.05" hidden="false" customHeight="false" outlineLevel="0" collapsed="false">
      <c r="A73" s="4" t="s">
        <v>612</v>
      </c>
      <c r="B73" s="4" t="s">
        <v>613</v>
      </c>
      <c r="C73" s="4" t="s">
        <v>19</v>
      </c>
      <c r="D73" s="4" t="s">
        <v>614</v>
      </c>
      <c r="E73" s="4" t="s">
        <v>62</v>
      </c>
      <c r="F73" s="4" t="s">
        <v>615</v>
      </c>
      <c r="G73" s="4"/>
      <c r="H73" s="11"/>
      <c r="I73" s="4" t="s">
        <v>83</v>
      </c>
      <c r="J73" s="4" t="s">
        <v>66</v>
      </c>
      <c r="K73" s="4" t="s">
        <v>616</v>
      </c>
      <c r="L73" s="4" t="s">
        <v>617</v>
      </c>
      <c r="M73" s="4" t="s">
        <v>106</v>
      </c>
      <c r="N73" s="4" t="s">
        <v>618</v>
      </c>
      <c r="O73" s="14" t="s">
        <v>88</v>
      </c>
      <c r="P73" s="15" t="s">
        <v>5</v>
      </c>
      <c r="Q73" s="4" t="s">
        <v>72</v>
      </c>
      <c r="R73" s="4" t="s">
        <v>74</v>
      </c>
      <c r="S73" s="4" t="s">
        <v>74</v>
      </c>
      <c r="T73" s="4" t="s">
        <v>74</v>
      </c>
      <c r="U73" s="4" t="s">
        <v>98</v>
      </c>
      <c r="V73" s="13" t="s">
        <v>9</v>
      </c>
      <c r="W73" s="4" t="s">
        <v>587</v>
      </c>
      <c r="X73" s="4" t="s">
        <v>619</v>
      </c>
      <c r="Y73" s="4"/>
      <c r="Z73" s="4"/>
      <c r="AA73" s="4" t="s">
        <v>620</v>
      </c>
    </row>
    <row r="74" customFormat="false" ht="35.05" hidden="false" customHeight="false" outlineLevel="0" collapsed="false">
      <c r="A74" s="4" t="s">
        <v>621</v>
      </c>
      <c r="B74" s="4" t="s">
        <v>622</v>
      </c>
      <c r="C74" s="4" t="s">
        <v>19</v>
      </c>
      <c r="D74" s="4" t="s">
        <v>623</v>
      </c>
      <c r="E74" s="4" t="s">
        <v>62</v>
      </c>
      <c r="F74" s="4" t="s">
        <v>615</v>
      </c>
      <c r="G74" s="4"/>
      <c r="H74" s="11"/>
      <c r="I74" s="4" t="s">
        <v>65</v>
      </c>
      <c r="J74" s="4" t="s">
        <v>66</v>
      </c>
      <c r="K74" s="4" t="s">
        <v>624</v>
      </c>
      <c r="L74" s="4" t="s">
        <v>625</v>
      </c>
      <c r="M74" s="4" t="s">
        <v>106</v>
      </c>
      <c r="N74" s="4" t="s">
        <v>626</v>
      </c>
      <c r="O74" s="13" t="s">
        <v>172</v>
      </c>
      <c r="P74" s="15" t="s">
        <v>6</v>
      </c>
      <c r="Q74" s="4" t="s">
        <v>6</v>
      </c>
      <c r="R74" s="4" t="s">
        <v>74</v>
      </c>
      <c r="S74" s="4" t="s">
        <v>74</v>
      </c>
      <c r="T74" s="4" t="s">
        <v>74</v>
      </c>
      <c r="U74" s="4" t="s">
        <v>98</v>
      </c>
      <c r="V74" s="13" t="s">
        <v>9</v>
      </c>
      <c r="W74" s="4" t="s">
        <v>587</v>
      </c>
      <c r="X74" s="4" t="s">
        <v>619</v>
      </c>
      <c r="Y74" s="4"/>
      <c r="Z74" s="4"/>
      <c r="AA74" s="4" t="s">
        <v>627</v>
      </c>
    </row>
    <row r="75" customFormat="false" ht="35.05" hidden="false" customHeight="false" outlineLevel="0" collapsed="false">
      <c r="A75" s="4" t="s">
        <v>628</v>
      </c>
      <c r="B75" s="4" t="s">
        <v>629</v>
      </c>
      <c r="C75" s="4" t="s">
        <v>19</v>
      </c>
      <c r="D75" s="4" t="s">
        <v>630</v>
      </c>
      <c r="E75" s="4" t="s">
        <v>62</v>
      </c>
      <c r="F75" s="4" t="s">
        <v>631</v>
      </c>
      <c r="G75" s="4" t="s">
        <v>632</v>
      </c>
      <c r="H75" s="11"/>
      <c r="I75" s="4" t="s">
        <v>83</v>
      </c>
      <c r="J75" s="4" t="s">
        <v>66</v>
      </c>
      <c r="K75" s="4" t="s">
        <v>616</v>
      </c>
      <c r="L75" s="4" t="s">
        <v>633</v>
      </c>
      <c r="M75" s="4" t="s">
        <v>106</v>
      </c>
      <c r="N75" s="4" t="s">
        <v>634</v>
      </c>
      <c r="O75" s="12" t="s">
        <v>71</v>
      </c>
      <c r="P75" s="12" t="s">
        <v>72</v>
      </c>
      <c r="Q75" s="4" t="s">
        <v>72</v>
      </c>
      <c r="R75" s="4" t="s">
        <v>73</v>
      </c>
      <c r="S75" s="4" t="s">
        <v>74</v>
      </c>
      <c r="T75" s="4" t="s">
        <v>74</v>
      </c>
      <c r="U75" s="4" t="s">
        <v>75</v>
      </c>
      <c r="V75" s="13" t="s">
        <v>9</v>
      </c>
      <c r="W75" s="4" t="s">
        <v>587</v>
      </c>
      <c r="X75" s="4" t="s">
        <v>619</v>
      </c>
      <c r="Y75" s="4"/>
      <c r="Z75" s="4"/>
      <c r="AA75" s="4" t="s">
        <v>635</v>
      </c>
    </row>
    <row r="76" customFormat="false" ht="46.25" hidden="false" customHeight="false" outlineLevel="0" collapsed="false">
      <c r="A76" s="4" t="s">
        <v>636</v>
      </c>
      <c r="B76" s="4" t="s">
        <v>637</v>
      </c>
      <c r="C76" s="4" t="s">
        <v>20</v>
      </c>
      <c r="D76" s="4" t="s">
        <v>638</v>
      </c>
      <c r="E76" s="4" t="s">
        <v>62</v>
      </c>
      <c r="F76" s="4" t="s">
        <v>639</v>
      </c>
      <c r="G76" s="4" t="s">
        <v>223</v>
      </c>
      <c r="H76" s="11"/>
      <c r="I76" s="4" t="s">
        <v>65</v>
      </c>
      <c r="J76" s="4" t="s">
        <v>66</v>
      </c>
      <c r="K76" s="4" t="s">
        <v>104</v>
      </c>
      <c r="L76" s="4" t="s">
        <v>640</v>
      </c>
      <c r="M76" s="4" t="s">
        <v>106</v>
      </c>
      <c r="N76" s="4" t="s">
        <v>641</v>
      </c>
      <c r="O76" s="14" t="s">
        <v>88</v>
      </c>
      <c r="P76" s="12" t="s">
        <v>72</v>
      </c>
      <c r="Q76" s="4" t="s">
        <v>72</v>
      </c>
      <c r="R76" s="4" t="s">
        <v>73</v>
      </c>
      <c r="S76" s="4" t="s">
        <v>73</v>
      </c>
      <c r="T76" s="4" t="s">
        <v>74</v>
      </c>
      <c r="U76" s="4" t="s">
        <v>75</v>
      </c>
      <c r="V76" s="13" t="s">
        <v>9</v>
      </c>
      <c r="W76" s="4" t="s">
        <v>642</v>
      </c>
      <c r="X76" s="4"/>
      <c r="Y76" s="4"/>
      <c r="Z76" s="4"/>
      <c r="AA76" s="4" t="s">
        <v>643</v>
      </c>
    </row>
    <row r="77" customFormat="false" ht="46.25" hidden="false" customHeight="false" outlineLevel="0" collapsed="false">
      <c r="A77" s="4" t="s">
        <v>644</v>
      </c>
      <c r="B77" s="4" t="s">
        <v>645</v>
      </c>
      <c r="C77" s="4" t="s">
        <v>20</v>
      </c>
      <c r="D77" s="4" t="s">
        <v>646</v>
      </c>
      <c r="E77" s="4" t="s">
        <v>62</v>
      </c>
      <c r="F77" s="4" t="s">
        <v>647</v>
      </c>
      <c r="G77" s="4" t="s">
        <v>223</v>
      </c>
      <c r="H77" s="11"/>
      <c r="I77" s="4" t="s">
        <v>65</v>
      </c>
      <c r="J77" s="4" t="s">
        <v>408</v>
      </c>
      <c r="K77" s="4" t="s">
        <v>104</v>
      </c>
      <c r="L77" s="4" t="s">
        <v>648</v>
      </c>
      <c r="M77" s="4" t="s">
        <v>106</v>
      </c>
      <c r="N77" s="4" t="s">
        <v>649</v>
      </c>
      <c r="O77" s="14" t="s">
        <v>88</v>
      </c>
      <c r="P77" s="15" t="s">
        <v>5</v>
      </c>
      <c r="Q77" s="4" t="s">
        <v>72</v>
      </c>
      <c r="R77" s="4" t="s">
        <v>74</v>
      </c>
      <c r="S77" s="4" t="s">
        <v>74</v>
      </c>
      <c r="T77" s="4" t="s">
        <v>74</v>
      </c>
      <c r="U77" s="4" t="s">
        <v>75</v>
      </c>
      <c r="V77" s="13" t="s">
        <v>9</v>
      </c>
      <c r="W77" s="4" t="s">
        <v>642</v>
      </c>
      <c r="X77" s="4"/>
      <c r="Y77" s="4"/>
      <c r="Z77" s="4"/>
      <c r="AA77" s="4" t="s">
        <v>650</v>
      </c>
    </row>
    <row r="78" customFormat="false" ht="46.25" hidden="false" customHeight="false" outlineLevel="0" collapsed="false">
      <c r="A78" s="4" t="s">
        <v>651</v>
      </c>
      <c r="B78" s="4" t="s">
        <v>652</v>
      </c>
      <c r="C78" s="4" t="s">
        <v>20</v>
      </c>
      <c r="D78" s="4" t="s">
        <v>653</v>
      </c>
      <c r="E78" s="4" t="s">
        <v>62</v>
      </c>
      <c r="F78" s="4" t="s">
        <v>654</v>
      </c>
      <c r="G78" s="4"/>
      <c r="H78" s="11"/>
      <c r="I78" s="4" t="s">
        <v>655</v>
      </c>
      <c r="J78" s="4" t="s">
        <v>519</v>
      </c>
      <c r="K78" s="4" t="s">
        <v>104</v>
      </c>
      <c r="L78" s="4" t="s">
        <v>656</v>
      </c>
      <c r="M78" s="4" t="s">
        <v>106</v>
      </c>
      <c r="N78" s="4" t="s">
        <v>657</v>
      </c>
      <c r="O78" s="12" t="s">
        <v>71</v>
      </c>
      <c r="P78" s="12" t="s">
        <v>72</v>
      </c>
      <c r="Q78" s="4" t="s">
        <v>72</v>
      </c>
      <c r="R78" s="4" t="s">
        <v>73</v>
      </c>
      <c r="S78" s="4" t="s">
        <v>73</v>
      </c>
      <c r="T78" s="4" t="s">
        <v>74</v>
      </c>
      <c r="U78" s="4" t="s">
        <v>658</v>
      </c>
      <c r="V78" s="13" t="s">
        <v>9</v>
      </c>
      <c r="W78" s="4" t="s">
        <v>642</v>
      </c>
      <c r="X78" s="4"/>
      <c r="Y78" s="4"/>
      <c r="Z78" s="4"/>
      <c r="AA78" s="4" t="s">
        <v>659</v>
      </c>
    </row>
    <row r="79" customFormat="false" ht="23.85" hidden="false" customHeight="false" outlineLevel="0" collapsed="false">
      <c r="A79" s="4" t="s">
        <v>660</v>
      </c>
      <c r="B79" s="4" t="s">
        <v>661</v>
      </c>
      <c r="C79" s="4" t="s">
        <v>20</v>
      </c>
      <c r="D79" s="4" t="s">
        <v>662</v>
      </c>
      <c r="E79" s="4" t="s">
        <v>62</v>
      </c>
      <c r="F79" s="4" t="s">
        <v>663</v>
      </c>
      <c r="G79" s="4"/>
      <c r="H79" s="11"/>
      <c r="I79" s="4" t="s">
        <v>65</v>
      </c>
      <c r="J79" s="4" t="s">
        <v>66</v>
      </c>
      <c r="K79" s="4" t="s">
        <v>104</v>
      </c>
      <c r="L79" s="4" t="s">
        <v>664</v>
      </c>
      <c r="M79" s="4" t="s">
        <v>106</v>
      </c>
      <c r="N79" s="4" t="s">
        <v>665</v>
      </c>
      <c r="O79" s="16" t="s">
        <v>97</v>
      </c>
      <c r="P79" s="15" t="s">
        <v>5</v>
      </c>
      <c r="Q79" s="4" t="s">
        <v>5</v>
      </c>
      <c r="R79" s="4" t="s">
        <v>74</v>
      </c>
      <c r="S79" s="4" t="s">
        <v>74</v>
      </c>
      <c r="T79" s="4" t="s">
        <v>74</v>
      </c>
      <c r="U79" s="4" t="s">
        <v>98</v>
      </c>
      <c r="V79" s="13" t="s">
        <v>9</v>
      </c>
      <c r="W79" s="4" t="s">
        <v>642</v>
      </c>
      <c r="X79" s="4"/>
      <c r="Y79" s="4"/>
      <c r="Z79" s="4"/>
      <c r="AA79" s="4" t="s">
        <v>666</v>
      </c>
    </row>
    <row r="80" customFormat="false" ht="23.85" hidden="false" customHeight="false" outlineLevel="0" collapsed="false">
      <c r="A80" s="4" t="s">
        <v>667</v>
      </c>
      <c r="B80" s="4" t="s">
        <v>668</v>
      </c>
      <c r="C80" s="4" t="s">
        <v>20</v>
      </c>
      <c r="D80" s="4" t="s">
        <v>669</v>
      </c>
      <c r="E80" s="4" t="s">
        <v>62</v>
      </c>
      <c r="F80" s="4" t="s">
        <v>654</v>
      </c>
      <c r="G80" s="4"/>
      <c r="H80" s="11"/>
      <c r="I80" s="4" t="s">
        <v>65</v>
      </c>
      <c r="J80" s="4" t="s">
        <v>66</v>
      </c>
      <c r="K80" s="4" t="s">
        <v>104</v>
      </c>
      <c r="L80" s="4" t="s">
        <v>670</v>
      </c>
      <c r="M80" s="4" t="s">
        <v>106</v>
      </c>
      <c r="N80" s="4" t="s">
        <v>671</v>
      </c>
      <c r="O80" s="13" t="s">
        <v>172</v>
      </c>
      <c r="P80" s="15" t="s">
        <v>6</v>
      </c>
      <c r="Q80" s="4" t="s">
        <v>6</v>
      </c>
      <c r="R80" s="4" t="s">
        <v>74</v>
      </c>
      <c r="S80" s="4" t="s">
        <v>74</v>
      </c>
      <c r="T80" s="4" t="s">
        <v>74</v>
      </c>
      <c r="U80" s="4" t="s">
        <v>98</v>
      </c>
      <c r="V80" s="13" t="s">
        <v>9</v>
      </c>
      <c r="W80" s="4" t="s">
        <v>642</v>
      </c>
      <c r="X80" s="4"/>
      <c r="Y80" s="4"/>
      <c r="Z80" s="4"/>
      <c r="AA80" s="4" t="s">
        <v>672</v>
      </c>
    </row>
    <row r="81" customFormat="false" ht="35.05" hidden="false" customHeight="false" outlineLevel="0" collapsed="false">
      <c r="A81" s="4" t="s">
        <v>673</v>
      </c>
      <c r="B81" s="4" t="s">
        <v>674</v>
      </c>
      <c r="C81" s="4" t="s">
        <v>20</v>
      </c>
      <c r="D81" s="4" t="s">
        <v>675</v>
      </c>
      <c r="E81" s="4" t="s">
        <v>62</v>
      </c>
      <c r="F81" s="4" t="s">
        <v>676</v>
      </c>
      <c r="G81" s="4" t="s">
        <v>237</v>
      </c>
      <c r="H81" s="11"/>
      <c r="I81" s="4" t="s">
        <v>655</v>
      </c>
      <c r="J81" s="4" t="s">
        <v>519</v>
      </c>
      <c r="K81" s="4" t="s">
        <v>104</v>
      </c>
      <c r="L81" s="4" t="s">
        <v>677</v>
      </c>
      <c r="M81" s="4" t="s">
        <v>106</v>
      </c>
      <c r="N81" s="4" t="s">
        <v>678</v>
      </c>
      <c r="O81" s="14" t="s">
        <v>88</v>
      </c>
      <c r="P81" s="12" t="s">
        <v>72</v>
      </c>
      <c r="Q81" s="4" t="s">
        <v>72</v>
      </c>
      <c r="R81" s="4" t="s">
        <v>73</v>
      </c>
      <c r="S81" s="4" t="s">
        <v>74</v>
      </c>
      <c r="T81" s="4" t="s">
        <v>74</v>
      </c>
      <c r="U81" s="4" t="s">
        <v>75</v>
      </c>
      <c r="V81" s="13" t="s">
        <v>9</v>
      </c>
      <c r="W81" s="4" t="s">
        <v>642</v>
      </c>
      <c r="X81" s="4"/>
      <c r="Y81" s="4"/>
      <c r="Z81" s="4"/>
      <c r="AA81" s="4" t="s">
        <v>679</v>
      </c>
    </row>
    <row r="82" customFormat="false" ht="23.85" hidden="false" customHeight="false" outlineLevel="0" collapsed="false">
      <c r="A82" s="4" t="s">
        <v>680</v>
      </c>
      <c r="B82" s="4" t="s">
        <v>681</v>
      </c>
      <c r="C82" s="4" t="s">
        <v>20</v>
      </c>
      <c r="D82" s="4" t="s">
        <v>682</v>
      </c>
      <c r="E82" s="4" t="s">
        <v>62</v>
      </c>
      <c r="F82" s="4" t="s">
        <v>676</v>
      </c>
      <c r="G82" s="4" t="s">
        <v>237</v>
      </c>
      <c r="H82" s="11"/>
      <c r="I82" s="4" t="s">
        <v>238</v>
      </c>
      <c r="J82" s="4" t="s">
        <v>519</v>
      </c>
      <c r="K82" s="4" t="s">
        <v>104</v>
      </c>
      <c r="L82" s="4" t="s">
        <v>683</v>
      </c>
      <c r="M82" s="4" t="s">
        <v>106</v>
      </c>
      <c r="N82" s="4" t="s">
        <v>684</v>
      </c>
      <c r="O82" s="14" t="s">
        <v>88</v>
      </c>
      <c r="P82" s="15" t="s">
        <v>5</v>
      </c>
      <c r="Q82" s="4" t="s">
        <v>72</v>
      </c>
      <c r="R82" s="4" t="s">
        <v>74</v>
      </c>
      <c r="S82" s="4" t="s">
        <v>74</v>
      </c>
      <c r="T82" s="4" t="s">
        <v>74</v>
      </c>
      <c r="U82" s="4" t="s">
        <v>241</v>
      </c>
      <c r="V82" s="13" t="s">
        <v>9</v>
      </c>
      <c r="W82" s="4" t="s">
        <v>242</v>
      </c>
      <c r="X82" s="4" t="s">
        <v>685</v>
      </c>
      <c r="Y82" s="4"/>
      <c r="Z82" s="4"/>
      <c r="AA82" s="4" t="s">
        <v>686</v>
      </c>
    </row>
    <row r="83" customFormat="false" ht="35.05" hidden="false" customHeight="false" outlineLevel="0" collapsed="false">
      <c r="A83" s="4" t="s">
        <v>687</v>
      </c>
      <c r="B83" s="4" t="s">
        <v>688</v>
      </c>
      <c r="C83" s="4" t="s">
        <v>20</v>
      </c>
      <c r="D83" s="4" t="s">
        <v>689</v>
      </c>
      <c r="E83" s="4" t="s">
        <v>177</v>
      </c>
      <c r="F83" s="4" t="s">
        <v>690</v>
      </c>
      <c r="G83" s="4"/>
      <c r="H83" s="11"/>
      <c r="I83" s="4" t="s">
        <v>407</v>
      </c>
      <c r="J83" s="4" t="s">
        <v>66</v>
      </c>
      <c r="K83" s="4" t="s">
        <v>104</v>
      </c>
      <c r="L83" s="4" t="s">
        <v>691</v>
      </c>
      <c r="M83" s="4" t="s">
        <v>106</v>
      </c>
      <c r="N83" s="4" t="s">
        <v>692</v>
      </c>
      <c r="O83" s="14" t="s">
        <v>88</v>
      </c>
      <c r="P83" s="15" t="s">
        <v>5</v>
      </c>
      <c r="Q83" s="4" t="s">
        <v>72</v>
      </c>
      <c r="R83" s="4" t="s">
        <v>74</v>
      </c>
      <c r="S83" s="4" t="s">
        <v>73</v>
      </c>
      <c r="T83" s="4" t="s">
        <v>74</v>
      </c>
      <c r="U83" s="4" t="s">
        <v>693</v>
      </c>
      <c r="V83" s="13" t="s">
        <v>9</v>
      </c>
      <c r="W83" s="4" t="s">
        <v>642</v>
      </c>
      <c r="X83" s="4"/>
      <c r="Y83" s="4"/>
      <c r="Z83" s="4"/>
      <c r="AA83" s="4" t="s">
        <v>694</v>
      </c>
    </row>
    <row r="84" customFormat="false" ht="23.85" hidden="false" customHeight="false" outlineLevel="0" collapsed="false">
      <c r="A84" s="4" t="s">
        <v>695</v>
      </c>
      <c r="B84" s="4" t="s">
        <v>696</v>
      </c>
      <c r="C84" s="4" t="s">
        <v>21</v>
      </c>
      <c r="D84" s="4" t="s">
        <v>697</v>
      </c>
      <c r="E84" s="4" t="s">
        <v>62</v>
      </c>
      <c r="F84" s="4" t="s">
        <v>698</v>
      </c>
      <c r="G84" s="4"/>
      <c r="H84" s="11"/>
      <c r="I84" s="4" t="s">
        <v>699</v>
      </c>
      <c r="J84" s="4" t="s">
        <v>699</v>
      </c>
      <c r="K84" s="4" t="s">
        <v>700</v>
      </c>
      <c r="L84" s="4" t="s">
        <v>701</v>
      </c>
      <c r="M84" s="4" t="s">
        <v>106</v>
      </c>
      <c r="N84" s="4" t="s">
        <v>702</v>
      </c>
      <c r="O84" s="14" t="s">
        <v>88</v>
      </c>
      <c r="P84" s="15" t="s">
        <v>5</v>
      </c>
      <c r="Q84" s="4" t="s">
        <v>72</v>
      </c>
      <c r="R84" s="4" t="s">
        <v>74</v>
      </c>
      <c r="S84" s="4" t="s">
        <v>73</v>
      </c>
      <c r="T84" s="4" t="s">
        <v>74</v>
      </c>
      <c r="U84" s="4" t="s">
        <v>703</v>
      </c>
      <c r="V84" s="13" t="s">
        <v>9</v>
      </c>
      <c r="W84" s="4" t="s">
        <v>704</v>
      </c>
      <c r="X84" s="4"/>
      <c r="Y84" s="4"/>
      <c r="Z84" s="4"/>
      <c r="AA84" s="4" t="s">
        <v>705</v>
      </c>
    </row>
    <row r="85" customFormat="false" ht="23.85" hidden="false" customHeight="false" outlineLevel="0" collapsed="false">
      <c r="A85" s="4" t="s">
        <v>706</v>
      </c>
      <c r="B85" s="4" t="s">
        <v>707</v>
      </c>
      <c r="C85" s="4" t="s">
        <v>21</v>
      </c>
      <c r="D85" s="4" t="s">
        <v>708</v>
      </c>
      <c r="E85" s="4" t="s">
        <v>62</v>
      </c>
      <c r="F85" s="4" t="s">
        <v>112</v>
      </c>
      <c r="G85" s="4"/>
      <c r="H85" s="11"/>
      <c r="I85" s="4" t="s">
        <v>709</v>
      </c>
      <c r="J85" s="4" t="s">
        <v>699</v>
      </c>
      <c r="K85" s="4" t="s">
        <v>710</v>
      </c>
      <c r="L85" s="4" t="s">
        <v>711</v>
      </c>
      <c r="M85" s="4" t="s">
        <v>95</v>
      </c>
      <c r="N85" s="4" t="s">
        <v>712</v>
      </c>
      <c r="O85" s="12" t="s">
        <v>71</v>
      </c>
      <c r="P85" s="12" t="s">
        <v>72</v>
      </c>
      <c r="Q85" s="4" t="s">
        <v>72</v>
      </c>
      <c r="R85" s="4" t="s">
        <v>73</v>
      </c>
      <c r="S85" s="4" t="s">
        <v>73</v>
      </c>
      <c r="T85" s="4" t="s">
        <v>74</v>
      </c>
      <c r="U85" s="4" t="s">
        <v>703</v>
      </c>
      <c r="V85" s="13" t="s">
        <v>9</v>
      </c>
      <c r="W85" s="4" t="s">
        <v>704</v>
      </c>
      <c r="X85" s="4"/>
      <c r="Y85" s="4"/>
      <c r="Z85" s="4"/>
      <c r="AA85" s="4" t="s">
        <v>713</v>
      </c>
    </row>
    <row r="86" customFormat="false" ht="35.05" hidden="false" customHeight="false" outlineLevel="0" collapsed="false">
      <c r="A86" s="4" t="s">
        <v>714</v>
      </c>
      <c r="B86" s="4" t="s">
        <v>715</v>
      </c>
      <c r="C86" s="4" t="s">
        <v>21</v>
      </c>
      <c r="D86" s="4" t="s">
        <v>716</v>
      </c>
      <c r="E86" s="4" t="s">
        <v>62</v>
      </c>
      <c r="F86" s="4" t="s">
        <v>282</v>
      </c>
      <c r="G86" s="4" t="s">
        <v>717</v>
      </c>
      <c r="H86" s="11"/>
      <c r="I86" s="4" t="s">
        <v>718</v>
      </c>
      <c r="J86" s="4" t="s">
        <v>699</v>
      </c>
      <c r="K86" s="4" t="s">
        <v>719</v>
      </c>
      <c r="L86" s="4" t="s">
        <v>720</v>
      </c>
      <c r="M86" s="4" t="s">
        <v>106</v>
      </c>
      <c r="N86" s="4" t="s">
        <v>721</v>
      </c>
      <c r="O86" s="14" t="s">
        <v>88</v>
      </c>
      <c r="P86" s="15" t="s">
        <v>5</v>
      </c>
      <c r="Q86" s="4" t="s">
        <v>72</v>
      </c>
      <c r="R86" s="4" t="s">
        <v>74</v>
      </c>
      <c r="S86" s="4" t="s">
        <v>74</v>
      </c>
      <c r="T86" s="4" t="s">
        <v>74</v>
      </c>
      <c r="U86" s="4" t="s">
        <v>703</v>
      </c>
      <c r="V86" s="13" t="s">
        <v>9</v>
      </c>
      <c r="W86" s="4" t="s">
        <v>704</v>
      </c>
      <c r="X86" s="4" t="s">
        <v>722</v>
      </c>
      <c r="Y86" s="4" t="s">
        <v>723</v>
      </c>
      <c r="Z86" s="4"/>
      <c r="AA86" s="4" t="s">
        <v>724</v>
      </c>
    </row>
    <row r="87" customFormat="false" ht="46.25" hidden="false" customHeight="false" outlineLevel="0" collapsed="false">
      <c r="A87" s="4" t="s">
        <v>725</v>
      </c>
      <c r="B87" s="4" t="s">
        <v>726</v>
      </c>
      <c r="C87" s="4" t="s">
        <v>21</v>
      </c>
      <c r="D87" s="4" t="s">
        <v>727</v>
      </c>
      <c r="E87" s="4" t="s">
        <v>62</v>
      </c>
      <c r="F87" s="4" t="s">
        <v>509</v>
      </c>
      <c r="G87" s="4" t="s">
        <v>728</v>
      </c>
      <c r="H87" s="11"/>
      <c r="I87" s="4" t="s">
        <v>718</v>
      </c>
      <c r="J87" s="4" t="s">
        <v>699</v>
      </c>
      <c r="K87" s="4" t="s">
        <v>729</v>
      </c>
      <c r="L87" s="4" t="s">
        <v>730</v>
      </c>
      <c r="M87" s="4" t="s">
        <v>106</v>
      </c>
      <c r="N87" s="4" t="s">
        <v>731</v>
      </c>
      <c r="O87" s="14" t="s">
        <v>88</v>
      </c>
      <c r="P87" s="15" t="s">
        <v>5</v>
      </c>
      <c r="Q87" s="4" t="s">
        <v>72</v>
      </c>
      <c r="R87" s="4" t="s">
        <v>74</v>
      </c>
      <c r="S87" s="4" t="s">
        <v>74</v>
      </c>
      <c r="T87" s="4" t="s">
        <v>74</v>
      </c>
      <c r="U87" s="4" t="s">
        <v>703</v>
      </c>
      <c r="V87" s="13" t="s">
        <v>9</v>
      </c>
      <c r="W87" s="4" t="s">
        <v>704</v>
      </c>
      <c r="X87" s="4" t="s">
        <v>722</v>
      </c>
      <c r="Y87" s="4" t="s">
        <v>723</v>
      </c>
      <c r="Z87" s="4"/>
      <c r="AA87" s="4" t="s">
        <v>724</v>
      </c>
    </row>
    <row r="88" customFormat="false" ht="23.85" hidden="false" customHeight="false" outlineLevel="0" collapsed="false">
      <c r="A88" s="4" t="s">
        <v>732</v>
      </c>
      <c r="B88" s="4" t="s">
        <v>733</v>
      </c>
      <c r="C88" s="4" t="s">
        <v>21</v>
      </c>
      <c r="D88" s="4" t="s">
        <v>734</v>
      </c>
      <c r="E88" s="4" t="s">
        <v>62</v>
      </c>
      <c r="F88" s="4" t="s">
        <v>735</v>
      </c>
      <c r="G88" s="4" t="s">
        <v>608</v>
      </c>
      <c r="H88" s="11"/>
      <c r="I88" s="4" t="s">
        <v>718</v>
      </c>
      <c r="J88" s="4" t="s">
        <v>736</v>
      </c>
      <c r="K88" s="4" t="s">
        <v>737</v>
      </c>
      <c r="L88" s="4" t="s">
        <v>738</v>
      </c>
      <c r="M88" s="4" t="s">
        <v>106</v>
      </c>
      <c r="N88" s="4" t="s">
        <v>739</v>
      </c>
      <c r="O88" s="12" t="s">
        <v>71</v>
      </c>
      <c r="P88" s="12" t="s">
        <v>72</v>
      </c>
      <c r="Q88" s="4" t="s">
        <v>72</v>
      </c>
      <c r="R88" s="4" t="s">
        <v>73</v>
      </c>
      <c r="S88" s="4" t="s">
        <v>74</v>
      </c>
      <c r="T88" s="4" t="s">
        <v>74</v>
      </c>
      <c r="U88" s="4" t="s">
        <v>703</v>
      </c>
      <c r="V88" s="13" t="s">
        <v>9</v>
      </c>
      <c r="W88" s="4" t="s">
        <v>704</v>
      </c>
      <c r="X88" s="4" t="s">
        <v>722</v>
      </c>
      <c r="Y88" s="4" t="s">
        <v>723</v>
      </c>
      <c r="Z88" s="4"/>
      <c r="AA88" s="4" t="s">
        <v>740</v>
      </c>
    </row>
    <row r="89" customFormat="false" ht="35.05" hidden="false" customHeight="false" outlineLevel="0" collapsed="false">
      <c r="A89" s="4" t="s">
        <v>741</v>
      </c>
      <c r="B89" s="4" t="s">
        <v>742</v>
      </c>
      <c r="C89" s="4" t="s">
        <v>21</v>
      </c>
      <c r="D89" s="4" t="s">
        <v>743</v>
      </c>
      <c r="E89" s="4" t="s">
        <v>62</v>
      </c>
      <c r="F89" s="4" t="s">
        <v>194</v>
      </c>
      <c r="G89" s="4" t="s">
        <v>237</v>
      </c>
      <c r="H89" s="11"/>
      <c r="I89" s="4" t="s">
        <v>238</v>
      </c>
      <c r="J89" s="4" t="s">
        <v>699</v>
      </c>
      <c r="K89" s="4" t="s">
        <v>104</v>
      </c>
      <c r="L89" s="4" t="s">
        <v>744</v>
      </c>
      <c r="M89" s="4" t="s">
        <v>106</v>
      </c>
      <c r="N89" s="4" t="s">
        <v>745</v>
      </c>
      <c r="O89" s="14" t="s">
        <v>88</v>
      </c>
      <c r="P89" s="15" t="s">
        <v>5</v>
      </c>
      <c r="Q89" s="4" t="s">
        <v>72</v>
      </c>
      <c r="R89" s="4" t="s">
        <v>74</v>
      </c>
      <c r="S89" s="4" t="s">
        <v>74</v>
      </c>
      <c r="T89" s="4" t="s">
        <v>74</v>
      </c>
      <c r="U89" s="4" t="s">
        <v>703</v>
      </c>
      <c r="V89" s="13" t="s">
        <v>9</v>
      </c>
      <c r="W89" s="4" t="s">
        <v>704</v>
      </c>
      <c r="X89" s="4"/>
      <c r="Y89" s="4"/>
      <c r="Z89" s="4"/>
      <c r="AA89" s="4" t="s">
        <v>724</v>
      </c>
    </row>
    <row r="90" customFormat="false" ht="46.25" hidden="false" customHeight="false" outlineLevel="0" collapsed="false">
      <c r="A90" s="4" t="s">
        <v>746</v>
      </c>
      <c r="B90" s="4" t="s">
        <v>747</v>
      </c>
      <c r="C90" s="4" t="s">
        <v>21</v>
      </c>
      <c r="D90" s="4" t="s">
        <v>748</v>
      </c>
      <c r="E90" s="4" t="s">
        <v>62</v>
      </c>
      <c r="F90" s="4" t="s">
        <v>698</v>
      </c>
      <c r="G90" s="4" t="s">
        <v>749</v>
      </c>
      <c r="H90" s="11"/>
      <c r="I90" s="4" t="s">
        <v>238</v>
      </c>
      <c r="J90" s="4" t="s">
        <v>131</v>
      </c>
      <c r="K90" s="4" t="s">
        <v>365</v>
      </c>
      <c r="L90" s="4" t="s">
        <v>750</v>
      </c>
      <c r="M90" s="4" t="s">
        <v>106</v>
      </c>
      <c r="N90" s="4" t="s">
        <v>751</v>
      </c>
      <c r="O90" s="16" t="s">
        <v>97</v>
      </c>
      <c r="P90" s="15" t="s">
        <v>5</v>
      </c>
      <c r="Q90" s="4" t="s">
        <v>5</v>
      </c>
      <c r="R90" s="4" t="s">
        <v>74</v>
      </c>
      <c r="S90" s="4" t="s">
        <v>74</v>
      </c>
      <c r="T90" s="4" t="s">
        <v>74</v>
      </c>
      <c r="U90" s="4" t="s">
        <v>241</v>
      </c>
      <c r="V90" s="13" t="s">
        <v>9</v>
      </c>
      <c r="W90" s="4" t="s">
        <v>242</v>
      </c>
      <c r="X90" s="4" t="s">
        <v>752</v>
      </c>
      <c r="Y90" s="4"/>
      <c r="Z90" s="4"/>
      <c r="AA90" s="4" t="s">
        <v>724</v>
      </c>
    </row>
    <row r="91" customFormat="false" ht="35.05" hidden="false" customHeight="false" outlineLevel="0" collapsed="false">
      <c r="A91" s="4" t="s">
        <v>753</v>
      </c>
      <c r="B91" s="4" t="s">
        <v>754</v>
      </c>
      <c r="C91" s="4" t="s">
        <v>21</v>
      </c>
      <c r="D91" s="4" t="s">
        <v>755</v>
      </c>
      <c r="E91" s="4" t="s">
        <v>62</v>
      </c>
      <c r="F91" s="4" t="s">
        <v>202</v>
      </c>
      <c r="G91" s="4"/>
      <c r="H91" s="11"/>
      <c r="I91" s="4" t="s">
        <v>709</v>
      </c>
      <c r="J91" s="4" t="s">
        <v>699</v>
      </c>
      <c r="K91" s="4" t="s">
        <v>756</v>
      </c>
      <c r="L91" s="4" t="s">
        <v>757</v>
      </c>
      <c r="M91" s="4" t="s">
        <v>205</v>
      </c>
      <c r="N91" s="4" t="s">
        <v>758</v>
      </c>
      <c r="O91" s="12" t="s">
        <v>71</v>
      </c>
      <c r="P91" s="15" t="s">
        <v>5</v>
      </c>
      <c r="Q91" s="4" t="s">
        <v>72</v>
      </c>
      <c r="R91" s="4" t="s">
        <v>74</v>
      </c>
      <c r="S91" s="4" t="s">
        <v>74</v>
      </c>
      <c r="T91" s="4" t="s">
        <v>74</v>
      </c>
      <c r="U91" s="4" t="s">
        <v>703</v>
      </c>
      <c r="V91" s="13" t="s">
        <v>9</v>
      </c>
      <c r="W91" s="4" t="s">
        <v>704</v>
      </c>
      <c r="X91" s="4" t="s">
        <v>207</v>
      </c>
      <c r="Y91" s="4" t="s">
        <v>208</v>
      </c>
      <c r="Z91" s="4"/>
      <c r="AA91" s="4" t="s">
        <v>759</v>
      </c>
    </row>
    <row r="92" customFormat="false" ht="23.85" hidden="false" customHeight="false" outlineLevel="0" collapsed="false">
      <c r="A92" s="4" t="s">
        <v>760</v>
      </c>
      <c r="B92" s="4" t="s">
        <v>761</v>
      </c>
      <c r="C92" s="4" t="s">
        <v>21</v>
      </c>
      <c r="D92" s="4" t="s">
        <v>762</v>
      </c>
      <c r="E92" s="4" t="s">
        <v>152</v>
      </c>
      <c r="F92" s="4" t="s">
        <v>698</v>
      </c>
      <c r="G92" s="4"/>
      <c r="H92" s="11"/>
      <c r="I92" s="4" t="s">
        <v>699</v>
      </c>
      <c r="J92" s="4" t="s">
        <v>699</v>
      </c>
      <c r="K92" s="4" t="s">
        <v>104</v>
      </c>
      <c r="L92" s="4" t="s">
        <v>763</v>
      </c>
      <c r="M92" s="4" t="s">
        <v>106</v>
      </c>
      <c r="N92" s="4" t="s">
        <v>764</v>
      </c>
      <c r="O92" s="16" t="s">
        <v>97</v>
      </c>
      <c r="P92" s="15" t="s">
        <v>5</v>
      </c>
      <c r="Q92" s="4" t="s">
        <v>5</v>
      </c>
      <c r="R92" s="4" t="s">
        <v>74</v>
      </c>
      <c r="S92" s="4" t="s">
        <v>74</v>
      </c>
      <c r="T92" s="4" t="s">
        <v>74</v>
      </c>
      <c r="U92" s="4" t="s">
        <v>703</v>
      </c>
      <c r="V92" s="13" t="s">
        <v>9</v>
      </c>
      <c r="W92" s="4" t="s">
        <v>704</v>
      </c>
      <c r="X92" s="4"/>
      <c r="Y92" s="4"/>
      <c r="Z92" s="4"/>
      <c r="AA92" s="4" t="s">
        <v>759</v>
      </c>
    </row>
    <row r="93" customFormat="false" ht="35.05" hidden="false" customHeight="false" outlineLevel="0" collapsed="false">
      <c r="A93" s="4" t="s">
        <v>765</v>
      </c>
      <c r="B93" s="4" t="s">
        <v>766</v>
      </c>
      <c r="C93" s="4" t="s">
        <v>21</v>
      </c>
      <c r="D93" s="4" t="s">
        <v>767</v>
      </c>
      <c r="E93" s="4" t="s">
        <v>152</v>
      </c>
      <c r="F93" s="4" t="s">
        <v>316</v>
      </c>
      <c r="G93" s="4"/>
      <c r="H93" s="11"/>
      <c r="I93" s="4" t="s">
        <v>718</v>
      </c>
      <c r="J93" s="4" t="s">
        <v>699</v>
      </c>
      <c r="K93" s="4" t="s">
        <v>729</v>
      </c>
      <c r="L93" s="4" t="s">
        <v>768</v>
      </c>
      <c r="M93" s="4" t="s">
        <v>106</v>
      </c>
      <c r="N93" s="4" t="s">
        <v>769</v>
      </c>
      <c r="O93" s="16" t="s">
        <v>97</v>
      </c>
      <c r="P93" s="15" t="s">
        <v>5</v>
      </c>
      <c r="Q93" s="4" t="s">
        <v>5</v>
      </c>
      <c r="R93" s="4" t="s">
        <v>74</v>
      </c>
      <c r="S93" s="4" t="s">
        <v>74</v>
      </c>
      <c r="T93" s="4" t="s">
        <v>74</v>
      </c>
      <c r="U93" s="4" t="s">
        <v>703</v>
      </c>
      <c r="V93" s="13" t="s">
        <v>9</v>
      </c>
      <c r="W93" s="4" t="s">
        <v>704</v>
      </c>
      <c r="X93" s="4" t="s">
        <v>770</v>
      </c>
      <c r="Y93" s="4"/>
      <c r="Z93" s="4"/>
      <c r="AA93" s="4" t="s">
        <v>759</v>
      </c>
    </row>
    <row r="94" customFormat="false" ht="23.85" hidden="false" customHeight="false" outlineLevel="0" collapsed="false">
      <c r="A94" s="4" t="s">
        <v>771</v>
      </c>
      <c r="B94" s="4" t="s">
        <v>772</v>
      </c>
      <c r="C94" s="4" t="s">
        <v>21</v>
      </c>
      <c r="D94" s="4" t="s">
        <v>773</v>
      </c>
      <c r="E94" s="4" t="s">
        <v>152</v>
      </c>
      <c r="F94" s="4" t="s">
        <v>654</v>
      </c>
      <c r="G94" s="4"/>
      <c r="H94" s="11"/>
      <c r="I94" s="4" t="s">
        <v>699</v>
      </c>
      <c r="J94" s="4" t="s">
        <v>699</v>
      </c>
      <c r="K94" s="4" t="s">
        <v>104</v>
      </c>
      <c r="L94" s="4" t="s">
        <v>774</v>
      </c>
      <c r="M94" s="4" t="s">
        <v>106</v>
      </c>
      <c r="N94" s="4" t="s">
        <v>775</v>
      </c>
      <c r="O94" s="16" t="s">
        <v>97</v>
      </c>
      <c r="P94" s="15" t="s">
        <v>5</v>
      </c>
      <c r="Q94" s="4" t="s">
        <v>5</v>
      </c>
      <c r="R94" s="4" t="s">
        <v>74</v>
      </c>
      <c r="S94" s="4" t="s">
        <v>74</v>
      </c>
      <c r="T94" s="4" t="s">
        <v>74</v>
      </c>
      <c r="U94" s="4" t="s">
        <v>703</v>
      </c>
      <c r="V94" s="13" t="s">
        <v>9</v>
      </c>
      <c r="W94" s="4" t="s">
        <v>704</v>
      </c>
      <c r="X94" s="4"/>
      <c r="Y94" s="4"/>
      <c r="Z94" s="4"/>
      <c r="AA94" s="4" t="s">
        <v>759</v>
      </c>
    </row>
    <row r="95" customFormat="false" ht="35.05" hidden="false" customHeight="false" outlineLevel="0" collapsed="false">
      <c r="A95" s="4" t="s">
        <v>776</v>
      </c>
      <c r="B95" s="4" t="s">
        <v>777</v>
      </c>
      <c r="C95" s="4" t="s">
        <v>21</v>
      </c>
      <c r="D95" s="4" t="s">
        <v>778</v>
      </c>
      <c r="E95" s="4" t="s">
        <v>152</v>
      </c>
      <c r="F95" s="4" t="s">
        <v>698</v>
      </c>
      <c r="G95" s="4" t="s">
        <v>779</v>
      </c>
      <c r="H95" s="11"/>
      <c r="I95" s="4" t="s">
        <v>238</v>
      </c>
      <c r="J95" s="4" t="s">
        <v>131</v>
      </c>
      <c r="K95" s="4" t="s">
        <v>254</v>
      </c>
      <c r="L95" s="4" t="s">
        <v>780</v>
      </c>
      <c r="M95" s="4" t="s">
        <v>106</v>
      </c>
      <c r="N95" s="4" t="s">
        <v>781</v>
      </c>
      <c r="O95" s="14" t="s">
        <v>88</v>
      </c>
      <c r="P95" s="15" t="s">
        <v>5</v>
      </c>
      <c r="Q95" s="4" t="s">
        <v>72</v>
      </c>
      <c r="R95" s="4" t="s">
        <v>74</v>
      </c>
      <c r="S95" s="4" t="s">
        <v>74</v>
      </c>
      <c r="T95" s="4" t="s">
        <v>74</v>
      </c>
      <c r="U95" s="4" t="s">
        <v>241</v>
      </c>
      <c r="V95" s="13" t="s">
        <v>9</v>
      </c>
      <c r="W95" s="4" t="s">
        <v>242</v>
      </c>
      <c r="X95" s="4" t="s">
        <v>782</v>
      </c>
      <c r="Y95" s="4"/>
      <c r="Z95" s="4"/>
      <c r="AA95" s="4" t="s">
        <v>724</v>
      </c>
    </row>
    <row r="96" customFormat="false" ht="46.25" hidden="false" customHeight="false" outlineLevel="0" collapsed="false">
      <c r="A96" s="4" t="s">
        <v>783</v>
      </c>
      <c r="B96" s="4" t="s">
        <v>784</v>
      </c>
      <c r="C96" s="4" t="s">
        <v>22</v>
      </c>
      <c r="D96" s="4" t="s">
        <v>785</v>
      </c>
      <c r="E96" s="4" t="s">
        <v>786</v>
      </c>
      <c r="F96" s="4" t="s">
        <v>787</v>
      </c>
      <c r="G96" s="4"/>
      <c r="H96" s="11"/>
      <c r="I96" s="4" t="s">
        <v>788</v>
      </c>
      <c r="J96" s="4" t="s">
        <v>786</v>
      </c>
      <c r="K96" s="4" t="s">
        <v>789</v>
      </c>
      <c r="L96" s="4" t="s">
        <v>790</v>
      </c>
      <c r="M96" s="4" t="s">
        <v>791</v>
      </c>
      <c r="N96" s="4" t="s">
        <v>792</v>
      </c>
      <c r="O96" s="14" t="s">
        <v>88</v>
      </c>
      <c r="P96" s="15" t="s">
        <v>5</v>
      </c>
      <c r="Q96" s="4" t="s">
        <v>5</v>
      </c>
      <c r="R96" s="4" t="s">
        <v>74</v>
      </c>
      <c r="S96" s="4" t="s">
        <v>74</v>
      </c>
      <c r="T96" s="4" t="s">
        <v>74</v>
      </c>
      <c r="U96" s="4" t="s">
        <v>793</v>
      </c>
      <c r="V96" s="12" t="s">
        <v>10</v>
      </c>
      <c r="W96" s="4"/>
      <c r="X96" s="4"/>
      <c r="Y96" s="4" t="s">
        <v>794</v>
      </c>
      <c r="Z96" s="4" t="s">
        <v>795</v>
      </c>
      <c r="AA96" s="4" t="s">
        <v>796</v>
      </c>
    </row>
    <row r="97" customFormat="false" ht="46.25" hidden="false" customHeight="false" outlineLevel="0" collapsed="false">
      <c r="A97" s="4" t="s">
        <v>797</v>
      </c>
      <c r="B97" s="4" t="s">
        <v>798</v>
      </c>
      <c r="C97" s="4" t="s">
        <v>22</v>
      </c>
      <c r="D97" s="4" t="s">
        <v>799</v>
      </c>
      <c r="E97" s="4" t="s">
        <v>786</v>
      </c>
      <c r="F97" s="4" t="s">
        <v>800</v>
      </c>
      <c r="G97" s="4"/>
      <c r="H97" s="11"/>
      <c r="I97" s="4" t="s">
        <v>788</v>
      </c>
      <c r="J97" s="4" t="s">
        <v>786</v>
      </c>
      <c r="K97" s="4" t="s">
        <v>789</v>
      </c>
      <c r="L97" s="4" t="s">
        <v>790</v>
      </c>
      <c r="M97" s="4" t="s">
        <v>801</v>
      </c>
      <c r="N97" s="4" t="s">
        <v>792</v>
      </c>
      <c r="O97" s="14" t="s">
        <v>88</v>
      </c>
      <c r="P97" s="15" t="s">
        <v>5</v>
      </c>
      <c r="Q97" s="4" t="s">
        <v>5</v>
      </c>
      <c r="R97" s="4" t="s">
        <v>74</v>
      </c>
      <c r="S97" s="4" t="s">
        <v>74</v>
      </c>
      <c r="T97" s="4" t="s">
        <v>74</v>
      </c>
      <c r="U97" s="4" t="s">
        <v>793</v>
      </c>
      <c r="V97" s="12" t="s">
        <v>10</v>
      </c>
      <c r="W97" s="4"/>
      <c r="X97" s="4"/>
      <c r="Y97" s="4" t="s">
        <v>794</v>
      </c>
      <c r="Z97" s="4" t="s">
        <v>795</v>
      </c>
      <c r="AA97" s="4" t="s">
        <v>796</v>
      </c>
    </row>
    <row r="98" customFormat="false" ht="46.25" hidden="false" customHeight="false" outlineLevel="0" collapsed="false">
      <c r="A98" s="4" t="s">
        <v>802</v>
      </c>
      <c r="B98" s="4" t="s">
        <v>803</v>
      </c>
      <c r="C98" s="4" t="s">
        <v>22</v>
      </c>
      <c r="D98" s="4" t="s">
        <v>804</v>
      </c>
      <c r="E98" s="4" t="s">
        <v>786</v>
      </c>
      <c r="F98" s="4" t="s">
        <v>805</v>
      </c>
      <c r="G98" s="4"/>
      <c r="H98" s="11"/>
      <c r="I98" s="4" t="s">
        <v>788</v>
      </c>
      <c r="J98" s="4" t="s">
        <v>786</v>
      </c>
      <c r="K98" s="4" t="s">
        <v>789</v>
      </c>
      <c r="L98" s="4" t="s">
        <v>790</v>
      </c>
      <c r="M98" s="4" t="s">
        <v>806</v>
      </c>
      <c r="N98" s="4" t="s">
        <v>792</v>
      </c>
      <c r="O98" s="14" t="s">
        <v>88</v>
      </c>
      <c r="P98" s="15" t="s">
        <v>5</v>
      </c>
      <c r="Q98" s="4" t="s">
        <v>5</v>
      </c>
      <c r="R98" s="4" t="s">
        <v>74</v>
      </c>
      <c r="S98" s="4" t="s">
        <v>74</v>
      </c>
      <c r="T98" s="4" t="s">
        <v>74</v>
      </c>
      <c r="U98" s="4" t="s">
        <v>793</v>
      </c>
      <c r="V98" s="12" t="s">
        <v>10</v>
      </c>
      <c r="W98" s="4"/>
      <c r="X98" s="4"/>
      <c r="Y98" s="4" t="s">
        <v>794</v>
      </c>
      <c r="Z98" s="4" t="s">
        <v>795</v>
      </c>
      <c r="AA98" s="4" t="s">
        <v>796</v>
      </c>
    </row>
    <row r="99" customFormat="false" ht="46.25" hidden="false" customHeight="false" outlineLevel="0" collapsed="false">
      <c r="A99" s="4" t="s">
        <v>807</v>
      </c>
      <c r="B99" s="4" t="s">
        <v>808</v>
      </c>
      <c r="C99" s="4" t="s">
        <v>22</v>
      </c>
      <c r="D99" s="4" t="s">
        <v>809</v>
      </c>
      <c r="E99" s="4" t="s">
        <v>786</v>
      </c>
      <c r="F99" s="4" t="s">
        <v>810</v>
      </c>
      <c r="G99" s="4"/>
      <c r="H99" s="11"/>
      <c r="I99" s="4" t="s">
        <v>788</v>
      </c>
      <c r="J99" s="4" t="s">
        <v>786</v>
      </c>
      <c r="K99" s="4" t="s">
        <v>789</v>
      </c>
      <c r="L99" s="4" t="s">
        <v>790</v>
      </c>
      <c r="M99" s="4" t="s">
        <v>811</v>
      </c>
      <c r="N99" s="4" t="s">
        <v>792</v>
      </c>
      <c r="O99" s="14" t="s">
        <v>88</v>
      </c>
      <c r="P99" s="15" t="s">
        <v>5</v>
      </c>
      <c r="Q99" s="4" t="s">
        <v>5</v>
      </c>
      <c r="R99" s="4" t="s">
        <v>74</v>
      </c>
      <c r="S99" s="4" t="s">
        <v>74</v>
      </c>
      <c r="T99" s="4" t="s">
        <v>74</v>
      </c>
      <c r="U99" s="4" t="s">
        <v>793</v>
      </c>
      <c r="V99" s="12" t="s">
        <v>10</v>
      </c>
      <c r="W99" s="4"/>
      <c r="X99" s="4"/>
      <c r="Y99" s="4" t="s">
        <v>794</v>
      </c>
      <c r="Z99" s="4" t="s">
        <v>795</v>
      </c>
      <c r="AA99" s="4" t="s">
        <v>796</v>
      </c>
    </row>
    <row r="100" customFormat="false" ht="46.25" hidden="false" customHeight="false" outlineLevel="0" collapsed="false">
      <c r="A100" s="4" t="s">
        <v>812</v>
      </c>
      <c r="B100" s="4" t="s">
        <v>813</v>
      </c>
      <c r="C100" s="4" t="s">
        <v>22</v>
      </c>
      <c r="D100" s="4" t="s">
        <v>814</v>
      </c>
      <c r="E100" s="4" t="s">
        <v>786</v>
      </c>
      <c r="F100" s="4" t="s">
        <v>815</v>
      </c>
      <c r="G100" s="4"/>
      <c r="H100" s="11"/>
      <c r="I100" s="4" t="s">
        <v>788</v>
      </c>
      <c r="J100" s="4" t="s">
        <v>786</v>
      </c>
      <c r="K100" s="4" t="s">
        <v>789</v>
      </c>
      <c r="L100" s="4" t="s">
        <v>790</v>
      </c>
      <c r="M100" s="4" t="s">
        <v>816</v>
      </c>
      <c r="N100" s="4" t="s">
        <v>792</v>
      </c>
      <c r="O100" s="14" t="s">
        <v>88</v>
      </c>
      <c r="P100" s="15" t="s">
        <v>5</v>
      </c>
      <c r="Q100" s="4" t="s">
        <v>5</v>
      </c>
      <c r="R100" s="4" t="s">
        <v>74</v>
      </c>
      <c r="S100" s="4" t="s">
        <v>74</v>
      </c>
      <c r="T100" s="4" t="s">
        <v>74</v>
      </c>
      <c r="U100" s="4" t="s">
        <v>793</v>
      </c>
      <c r="V100" s="12" t="s">
        <v>10</v>
      </c>
      <c r="W100" s="4"/>
      <c r="X100" s="4"/>
      <c r="Y100" s="4" t="s">
        <v>794</v>
      </c>
      <c r="Z100" s="4" t="s">
        <v>795</v>
      </c>
      <c r="AA100" s="4" t="s">
        <v>796</v>
      </c>
    </row>
    <row r="101" customFormat="false" ht="46.25" hidden="false" customHeight="false" outlineLevel="0" collapsed="false">
      <c r="A101" s="4" t="s">
        <v>817</v>
      </c>
      <c r="B101" s="4" t="s">
        <v>818</v>
      </c>
      <c r="C101" s="4" t="s">
        <v>22</v>
      </c>
      <c r="D101" s="4" t="s">
        <v>819</v>
      </c>
      <c r="E101" s="4" t="s">
        <v>786</v>
      </c>
      <c r="F101" s="4" t="s">
        <v>820</v>
      </c>
      <c r="G101" s="4"/>
      <c r="H101" s="11"/>
      <c r="I101" s="4" t="s">
        <v>788</v>
      </c>
      <c r="J101" s="4" t="s">
        <v>786</v>
      </c>
      <c r="K101" s="4" t="s">
        <v>789</v>
      </c>
      <c r="L101" s="4" t="s">
        <v>790</v>
      </c>
      <c r="M101" s="4" t="s">
        <v>821</v>
      </c>
      <c r="N101" s="4" t="s">
        <v>792</v>
      </c>
      <c r="O101" s="14" t="s">
        <v>88</v>
      </c>
      <c r="P101" s="15" t="s">
        <v>5</v>
      </c>
      <c r="Q101" s="4" t="s">
        <v>5</v>
      </c>
      <c r="R101" s="4" t="s">
        <v>74</v>
      </c>
      <c r="S101" s="4" t="s">
        <v>74</v>
      </c>
      <c r="T101" s="4" t="s">
        <v>74</v>
      </c>
      <c r="U101" s="4" t="s">
        <v>793</v>
      </c>
      <c r="V101" s="12" t="s">
        <v>10</v>
      </c>
      <c r="W101" s="4"/>
      <c r="X101" s="4"/>
      <c r="Y101" s="4" t="s">
        <v>794</v>
      </c>
      <c r="Z101" s="4" t="s">
        <v>795</v>
      </c>
      <c r="AA101" s="4" t="s">
        <v>796</v>
      </c>
    </row>
    <row r="102" customFormat="false" ht="46.25" hidden="false" customHeight="false" outlineLevel="0" collapsed="false">
      <c r="A102" s="4" t="s">
        <v>822</v>
      </c>
      <c r="B102" s="4" t="s">
        <v>823</v>
      </c>
      <c r="C102" s="4" t="s">
        <v>22</v>
      </c>
      <c r="D102" s="4" t="s">
        <v>824</v>
      </c>
      <c r="E102" s="4" t="s">
        <v>786</v>
      </c>
      <c r="F102" s="4" t="s">
        <v>825</v>
      </c>
      <c r="G102" s="4"/>
      <c r="H102" s="11"/>
      <c r="I102" s="4" t="s">
        <v>788</v>
      </c>
      <c r="J102" s="4" t="s">
        <v>786</v>
      </c>
      <c r="K102" s="4" t="s">
        <v>789</v>
      </c>
      <c r="L102" s="4" t="s">
        <v>790</v>
      </c>
      <c r="M102" s="4" t="s">
        <v>826</v>
      </c>
      <c r="N102" s="4" t="s">
        <v>792</v>
      </c>
      <c r="O102" s="14" t="s">
        <v>88</v>
      </c>
      <c r="P102" s="15" t="s">
        <v>5</v>
      </c>
      <c r="Q102" s="4" t="s">
        <v>5</v>
      </c>
      <c r="R102" s="4" t="s">
        <v>74</v>
      </c>
      <c r="S102" s="4" t="s">
        <v>74</v>
      </c>
      <c r="T102" s="4" t="s">
        <v>74</v>
      </c>
      <c r="U102" s="4" t="s">
        <v>793</v>
      </c>
      <c r="V102" s="12" t="s">
        <v>10</v>
      </c>
      <c r="W102" s="4"/>
      <c r="X102" s="4"/>
      <c r="Y102" s="4" t="s">
        <v>794</v>
      </c>
      <c r="Z102" s="4" t="s">
        <v>795</v>
      </c>
      <c r="AA102" s="4" t="s">
        <v>796</v>
      </c>
    </row>
    <row r="103" customFormat="false" ht="46.25" hidden="false" customHeight="false" outlineLevel="0" collapsed="false">
      <c r="A103" s="4" t="s">
        <v>827</v>
      </c>
      <c r="B103" s="4" t="s">
        <v>828</v>
      </c>
      <c r="C103" s="4" t="s">
        <v>22</v>
      </c>
      <c r="D103" s="4" t="s">
        <v>829</v>
      </c>
      <c r="E103" s="4" t="s">
        <v>786</v>
      </c>
      <c r="F103" s="4" t="s">
        <v>830</v>
      </c>
      <c r="G103" s="4"/>
      <c r="H103" s="11"/>
      <c r="I103" s="4" t="s">
        <v>788</v>
      </c>
      <c r="J103" s="4" t="s">
        <v>786</v>
      </c>
      <c r="K103" s="4" t="s">
        <v>789</v>
      </c>
      <c r="L103" s="4" t="s">
        <v>790</v>
      </c>
      <c r="M103" s="4" t="s">
        <v>831</v>
      </c>
      <c r="N103" s="4" t="s">
        <v>792</v>
      </c>
      <c r="O103" s="14" t="s">
        <v>88</v>
      </c>
      <c r="P103" s="15" t="s">
        <v>5</v>
      </c>
      <c r="Q103" s="4" t="s">
        <v>5</v>
      </c>
      <c r="R103" s="4" t="s">
        <v>74</v>
      </c>
      <c r="S103" s="4" t="s">
        <v>74</v>
      </c>
      <c r="T103" s="4" t="s">
        <v>74</v>
      </c>
      <c r="U103" s="4" t="s">
        <v>793</v>
      </c>
      <c r="V103" s="12" t="s">
        <v>10</v>
      </c>
      <c r="W103" s="4"/>
      <c r="X103" s="4"/>
      <c r="Y103" s="4" t="s">
        <v>794</v>
      </c>
      <c r="Z103" s="4" t="s">
        <v>795</v>
      </c>
      <c r="AA103" s="4" t="s">
        <v>796</v>
      </c>
    </row>
    <row r="104" customFormat="false" ht="46.25" hidden="false" customHeight="false" outlineLevel="0" collapsed="false">
      <c r="A104" s="4" t="s">
        <v>832</v>
      </c>
      <c r="B104" s="4" t="s">
        <v>833</v>
      </c>
      <c r="C104" s="4" t="s">
        <v>22</v>
      </c>
      <c r="D104" s="4" t="s">
        <v>834</v>
      </c>
      <c r="E104" s="4" t="s">
        <v>786</v>
      </c>
      <c r="F104" s="4" t="s">
        <v>835</v>
      </c>
      <c r="G104" s="4"/>
      <c r="H104" s="11"/>
      <c r="I104" s="4" t="s">
        <v>788</v>
      </c>
      <c r="J104" s="4" t="s">
        <v>786</v>
      </c>
      <c r="K104" s="4" t="s">
        <v>789</v>
      </c>
      <c r="L104" s="4" t="s">
        <v>790</v>
      </c>
      <c r="M104" s="4" t="s">
        <v>836</v>
      </c>
      <c r="N104" s="4" t="s">
        <v>792</v>
      </c>
      <c r="O104" s="14" t="s">
        <v>88</v>
      </c>
      <c r="P104" s="15" t="s">
        <v>5</v>
      </c>
      <c r="Q104" s="4" t="s">
        <v>5</v>
      </c>
      <c r="R104" s="4" t="s">
        <v>74</v>
      </c>
      <c r="S104" s="4" t="s">
        <v>74</v>
      </c>
      <c r="T104" s="4" t="s">
        <v>74</v>
      </c>
      <c r="U104" s="4" t="s">
        <v>793</v>
      </c>
      <c r="V104" s="12" t="s">
        <v>10</v>
      </c>
      <c r="W104" s="4"/>
      <c r="X104" s="4"/>
      <c r="Y104" s="4" t="s">
        <v>794</v>
      </c>
      <c r="Z104" s="4" t="s">
        <v>795</v>
      </c>
      <c r="AA104" s="4" t="s">
        <v>796</v>
      </c>
    </row>
    <row r="105" customFormat="false" ht="46.25" hidden="false" customHeight="false" outlineLevel="0" collapsed="false">
      <c r="A105" s="4" t="s">
        <v>837</v>
      </c>
      <c r="B105" s="4" t="s">
        <v>838</v>
      </c>
      <c r="C105" s="4" t="s">
        <v>22</v>
      </c>
      <c r="D105" s="4" t="s">
        <v>839</v>
      </c>
      <c r="E105" s="4" t="s">
        <v>786</v>
      </c>
      <c r="F105" s="4" t="s">
        <v>840</v>
      </c>
      <c r="G105" s="4"/>
      <c r="H105" s="11"/>
      <c r="I105" s="4" t="s">
        <v>788</v>
      </c>
      <c r="J105" s="4" t="s">
        <v>786</v>
      </c>
      <c r="K105" s="4" t="s">
        <v>789</v>
      </c>
      <c r="L105" s="4" t="s">
        <v>790</v>
      </c>
      <c r="M105" s="4" t="s">
        <v>841</v>
      </c>
      <c r="N105" s="4" t="s">
        <v>792</v>
      </c>
      <c r="O105" s="14" t="s">
        <v>88</v>
      </c>
      <c r="P105" s="15" t="s">
        <v>5</v>
      </c>
      <c r="Q105" s="4" t="s">
        <v>5</v>
      </c>
      <c r="R105" s="4" t="s">
        <v>74</v>
      </c>
      <c r="S105" s="4" t="s">
        <v>74</v>
      </c>
      <c r="T105" s="4" t="s">
        <v>74</v>
      </c>
      <c r="U105" s="4" t="s">
        <v>793</v>
      </c>
      <c r="V105" s="12" t="s">
        <v>10</v>
      </c>
      <c r="W105" s="4"/>
      <c r="X105" s="4"/>
      <c r="Y105" s="4" t="s">
        <v>794</v>
      </c>
      <c r="Z105" s="4" t="s">
        <v>795</v>
      </c>
      <c r="AA105" s="4" t="s">
        <v>796</v>
      </c>
    </row>
    <row r="106" customFormat="false" ht="57.45" hidden="false" customHeight="false" outlineLevel="0" collapsed="false">
      <c r="A106" s="4" t="s">
        <v>842</v>
      </c>
      <c r="B106" s="4" t="s">
        <v>843</v>
      </c>
      <c r="C106" s="4" t="s">
        <v>23</v>
      </c>
      <c r="D106" s="4" t="s">
        <v>844</v>
      </c>
      <c r="E106" s="4" t="s">
        <v>845</v>
      </c>
      <c r="F106" s="4" t="s">
        <v>846</v>
      </c>
      <c r="G106" s="4" t="s">
        <v>847</v>
      </c>
      <c r="H106" s="11"/>
      <c r="I106" s="4" t="s">
        <v>848</v>
      </c>
      <c r="J106" s="4" t="s">
        <v>848</v>
      </c>
      <c r="K106" s="4" t="s">
        <v>849</v>
      </c>
      <c r="L106" s="4" t="s">
        <v>850</v>
      </c>
      <c r="M106" s="4" t="s">
        <v>95</v>
      </c>
      <c r="N106" s="4" t="s">
        <v>851</v>
      </c>
      <c r="O106" s="16" t="s">
        <v>97</v>
      </c>
      <c r="P106" s="15" t="s">
        <v>5</v>
      </c>
      <c r="Q106" s="4" t="s">
        <v>72</v>
      </c>
      <c r="R106" s="4" t="s">
        <v>74</v>
      </c>
      <c r="S106" s="4" t="s">
        <v>74</v>
      </c>
      <c r="T106" s="4" t="s">
        <v>74</v>
      </c>
      <c r="U106" s="4" t="s">
        <v>852</v>
      </c>
      <c r="V106" s="13" t="s">
        <v>9</v>
      </c>
      <c r="W106" s="4" t="s">
        <v>853</v>
      </c>
      <c r="X106" s="4"/>
      <c r="Y106" s="4"/>
      <c r="Z106" s="4"/>
      <c r="AA106" s="4" t="s">
        <v>854</v>
      </c>
    </row>
    <row r="107" customFormat="false" ht="46.25" hidden="false" customHeight="false" outlineLevel="0" collapsed="false">
      <c r="A107" s="4" t="s">
        <v>855</v>
      </c>
      <c r="B107" s="4" t="s">
        <v>856</v>
      </c>
      <c r="C107" s="4" t="s">
        <v>23</v>
      </c>
      <c r="D107" s="4" t="s">
        <v>857</v>
      </c>
      <c r="E107" s="4" t="s">
        <v>845</v>
      </c>
      <c r="F107" s="4" t="s">
        <v>858</v>
      </c>
      <c r="G107" s="4"/>
      <c r="H107" s="11"/>
      <c r="I107" s="4" t="s">
        <v>848</v>
      </c>
      <c r="J107" s="4" t="s">
        <v>848</v>
      </c>
      <c r="K107" s="4" t="s">
        <v>849</v>
      </c>
      <c r="L107" s="4" t="s">
        <v>859</v>
      </c>
      <c r="M107" s="4" t="s">
        <v>95</v>
      </c>
      <c r="N107" s="4" t="s">
        <v>860</v>
      </c>
      <c r="O107" s="16" t="s">
        <v>97</v>
      </c>
      <c r="P107" s="15" t="s">
        <v>5</v>
      </c>
      <c r="Q107" s="4" t="s">
        <v>72</v>
      </c>
      <c r="R107" s="4" t="s">
        <v>74</v>
      </c>
      <c r="S107" s="4" t="s">
        <v>74</v>
      </c>
      <c r="T107" s="4" t="s">
        <v>74</v>
      </c>
      <c r="U107" s="4" t="s">
        <v>852</v>
      </c>
      <c r="V107" s="13" t="s">
        <v>9</v>
      </c>
      <c r="W107" s="4" t="s">
        <v>853</v>
      </c>
      <c r="X107" s="4"/>
      <c r="Y107" s="4"/>
      <c r="Z107" s="4"/>
      <c r="AA107" s="4" t="s">
        <v>861</v>
      </c>
    </row>
    <row r="108" customFormat="false" ht="46.25" hidden="false" customHeight="false" outlineLevel="0" collapsed="false">
      <c r="A108" s="4" t="s">
        <v>862</v>
      </c>
      <c r="B108" s="4" t="s">
        <v>863</v>
      </c>
      <c r="C108" s="4" t="s">
        <v>23</v>
      </c>
      <c r="D108" s="4" t="s">
        <v>864</v>
      </c>
      <c r="E108" s="4" t="s">
        <v>845</v>
      </c>
      <c r="F108" s="4" t="s">
        <v>865</v>
      </c>
      <c r="G108" s="4"/>
      <c r="H108" s="11"/>
      <c r="I108" s="4" t="s">
        <v>848</v>
      </c>
      <c r="J108" s="4" t="s">
        <v>848</v>
      </c>
      <c r="K108" s="4" t="s">
        <v>849</v>
      </c>
      <c r="L108" s="4" t="s">
        <v>866</v>
      </c>
      <c r="M108" s="4" t="s">
        <v>95</v>
      </c>
      <c r="N108" s="4" t="s">
        <v>867</v>
      </c>
      <c r="O108" s="16" t="s">
        <v>97</v>
      </c>
      <c r="P108" s="15" t="s">
        <v>5</v>
      </c>
      <c r="Q108" s="4" t="s">
        <v>72</v>
      </c>
      <c r="R108" s="4" t="s">
        <v>74</v>
      </c>
      <c r="S108" s="4" t="s">
        <v>74</v>
      </c>
      <c r="T108" s="4" t="s">
        <v>74</v>
      </c>
      <c r="U108" s="4" t="s">
        <v>852</v>
      </c>
      <c r="V108" s="13" t="s">
        <v>9</v>
      </c>
      <c r="W108" s="4" t="s">
        <v>853</v>
      </c>
      <c r="X108" s="4"/>
      <c r="Y108" s="4"/>
      <c r="Z108" s="4"/>
      <c r="AA108" s="4" t="s">
        <v>861</v>
      </c>
    </row>
    <row r="109" customFormat="false" ht="46.25" hidden="false" customHeight="false" outlineLevel="0" collapsed="false">
      <c r="A109" s="4" t="s">
        <v>868</v>
      </c>
      <c r="B109" s="4" t="s">
        <v>869</v>
      </c>
      <c r="C109" s="4" t="s">
        <v>23</v>
      </c>
      <c r="D109" s="4" t="s">
        <v>870</v>
      </c>
      <c r="E109" s="4" t="s">
        <v>845</v>
      </c>
      <c r="F109" s="4" t="s">
        <v>858</v>
      </c>
      <c r="G109" s="4"/>
      <c r="H109" s="11"/>
      <c r="I109" s="4" t="s">
        <v>848</v>
      </c>
      <c r="J109" s="4" t="s">
        <v>848</v>
      </c>
      <c r="K109" s="4" t="s">
        <v>849</v>
      </c>
      <c r="L109" s="4" t="s">
        <v>871</v>
      </c>
      <c r="M109" s="4" t="s">
        <v>95</v>
      </c>
      <c r="N109" s="4" t="s">
        <v>872</v>
      </c>
      <c r="O109" s="16" t="s">
        <v>97</v>
      </c>
      <c r="P109" s="15" t="s">
        <v>5</v>
      </c>
      <c r="Q109" s="4" t="s">
        <v>72</v>
      </c>
      <c r="R109" s="4" t="s">
        <v>74</v>
      </c>
      <c r="S109" s="4" t="s">
        <v>74</v>
      </c>
      <c r="T109" s="4" t="s">
        <v>74</v>
      </c>
      <c r="U109" s="4" t="s">
        <v>852</v>
      </c>
      <c r="V109" s="13" t="s">
        <v>9</v>
      </c>
      <c r="W109" s="4" t="s">
        <v>853</v>
      </c>
      <c r="X109" s="4"/>
      <c r="Y109" s="4"/>
      <c r="Z109" s="4"/>
      <c r="AA109" s="4" t="s">
        <v>861</v>
      </c>
    </row>
  </sheetData>
  <autoFilter ref="A4:AA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5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873</v>
      </c>
    </row>
    <row r="2" customFormat="false" ht="15" hidden="false" customHeight="false" outlineLevel="0" collapsed="false">
      <c r="A2" s="2" t="s">
        <v>874</v>
      </c>
    </row>
    <row r="4" customFormat="false" ht="31.5" hidden="false" customHeight="true" outlineLevel="0" collapsed="false">
      <c r="A4" s="3" t="s">
        <v>34</v>
      </c>
      <c r="B4" s="3" t="s">
        <v>35</v>
      </c>
      <c r="C4" s="3" t="s">
        <v>875</v>
      </c>
      <c r="D4" s="3" t="s">
        <v>42</v>
      </c>
      <c r="E4" s="3" t="s">
        <v>53</v>
      </c>
      <c r="F4" s="3" t="s">
        <v>876</v>
      </c>
    </row>
    <row r="5" customFormat="false" ht="15" hidden="false" customHeight="false" outlineLevel="0" collapsed="false">
      <c r="A5" s="4" t="s">
        <v>59</v>
      </c>
      <c r="B5" s="4" t="s">
        <v>60</v>
      </c>
      <c r="C5" s="4" t="s">
        <v>877</v>
      </c>
      <c r="D5" s="4" t="s">
        <v>66</v>
      </c>
      <c r="E5" s="4" t="s">
        <v>9</v>
      </c>
      <c r="F5" s="4" t="s">
        <v>63</v>
      </c>
    </row>
    <row r="6" customFormat="false" ht="15" hidden="false" customHeight="false" outlineLevel="0" collapsed="false">
      <c r="A6" s="4" t="s">
        <v>109</v>
      </c>
      <c r="B6" s="4" t="s">
        <v>110</v>
      </c>
      <c r="C6" s="4" t="s">
        <v>878</v>
      </c>
      <c r="D6" s="4" t="s">
        <v>66</v>
      </c>
      <c r="E6" s="4" t="s">
        <v>9</v>
      </c>
      <c r="F6" s="4" t="s">
        <v>112</v>
      </c>
    </row>
    <row r="7" customFormat="false" ht="23.85" hidden="false" customHeight="false" outlineLevel="0" collapsed="false">
      <c r="A7" s="4" t="s">
        <v>118</v>
      </c>
      <c r="B7" s="4" t="s">
        <v>119</v>
      </c>
      <c r="C7" s="4" t="s">
        <v>879</v>
      </c>
      <c r="D7" s="4" t="s">
        <v>66</v>
      </c>
      <c r="E7" s="4" t="s">
        <v>9</v>
      </c>
      <c r="F7" s="4" t="s">
        <v>81</v>
      </c>
    </row>
    <row r="8" customFormat="false" ht="23.85" hidden="false" customHeight="false" outlineLevel="0" collapsed="false">
      <c r="A8" s="4" t="s">
        <v>199</v>
      </c>
      <c r="B8" s="4" t="s">
        <v>200</v>
      </c>
      <c r="C8" s="4" t="s">
        <v>880</v>
      </c>
      <c r="D8" s="4" t="s">
        <v>131</v>
      </c>
      <c r="E8" s="4" t="s">
        <v>9</v>
      </c>
      <c r="F8" s="4" t="s">
        <v>202</v>
      </c>
    </row>
    <row r="9" customFormat="false" ht="15" hidden="false" customHeight="false" outlineLevel="0" collapsed="false">
      <c r="A9" s="4" t="s">
        <v>279</v>
      </c>
      <c r="B9" s="4" t="s">
        <v>280</v>
      </c>
      <c r="C9" s="4" t="s">
        <v>881</v>
      </c>
      <c r="D9" s="4" t="s">
        <v>131</v>
      </c>
      <c r="E9" s="4" t="s">
        <v>9</v>
      </c>
      <c r="F9" s="4" t="s">
        <v>282</v>
      </c>
    </row>
    <row r="10" customFormat="false" ht="15" hidden="false" customHeight="false" outlineLevel="0" collapsed="false">
      <c r="A10" s="4" t="s">
        <v>302</v>
      </c>
      <c r="B10" s="4" t="s">
        <v>303</v>
      </c>
      <c r="C10" s="4" t="s">
        <v>882</v>
      </c>
      <c r="D10" s="4" t="s">
        <v>66</v>
      </c>
      <c r="E10" s="4" t="s">
        <v>9</v>
      </c>
      <c r="F10" s="4" t="s">
        <v>305</v>
      </c>
    </row>
    <row r="11" customFormat="false" ht="15" hidden="false" customHeight="false" outlineLevel="0" collapsed="false">
      <c r="A11" s="4" t="s">
        <v>361</v>
      </c>
      <c r="B11" s="4" t="s">
        <v>362</v>
      </c>
      <c r="C11" s="4" t="s">
        <v>883</v>
      </c>
      <c r="D11" s="4" t="s">
        <v>66</v>
      </c>
      <c r="E11" s="4" t="s">
        <v>9</v>
      </c>
      <c r="F11" s="4" t="s">
        <v>364</v>
      </c>
    </row>
    <row r="12" customFormat="false" ht="15" hidden="false" customHeight="false" outlineLevel="0" collapsed="false">
      <c r="A12" s="4" t="s">
        <v>394</v>
      </c>
      <c r="B12" s="4" t="s">
        <v>395</v>
      </c>
      <c r="C12" s="4" t="s">
        <v>884</v>
      </c>
      <c r="D12" s="4" t="s">
        <v>131</v>
      </c>
      <c r="E12" s="4" t="s">
        <v>9</v>
      </c>
      <c r="F12" s="4" t="s">
        <v>397</v>
      </c>
    </row>
    <row r="13" customFormat="false" ht="15" hidden="false" customHeight="false" outlineLevel="0" collapsed="false">
      <c r="A13" s="4" t="s">
        <v>403</v>
      </c>
      <c r="B13" s="4" t="s">
        <v>404</v>
      </c>
      <c r="C13" s="4" t="s">
        <v>885</v>
      </c>
      <c r="D13" s="4" t="s">
        <v>408</v>
      </c>
      <c r="E13" s="4" t="s">
        <v>9</v>
      </c>
      <c r="F13" s="4" t="s">
        <v>406</v>
      </c>
    </row>
    <row r="14" customFormat="false" ht="15" hidden="false" customHeight="false" outlineLevel="0" collapsed="false">
      <c r="A14" s="4" t="s">
        <v>457</v>
      </c>
      <c r="B14" s="4" t="s">
        <v>458</v>
      </c>
      <c r="C14" s="4" t="s">
        <v>886</v>
      </c>
      <c r="D14" s="4" t="s">
        <v>131</v>
      </c>
      <c r="E14" s="4" t="s">
        <v>9</v>
      </c>
      <c r="F14" s="4" t="s">
        <v>460</v>
      </c>
    </row>
    <row r="15" customFormat="false" ht="15" hidden="false" customHeight="false" outlineLevel="0" collapsed="false">
      <c r="A15" s="4" t="s">
        <v>515</v>
      </c>
      <c r="B15" s="4" t="s">
        <v>516</v>
      </c>
      <c r="C15" s="4" t="s">
        <v>887</v>
      </c>
      <c r="D15" s="4" t="s">
        <v>519</v>
      </c>
      <c r="E15" s="4" t="s">
        <v>9</v>
      </c>
      <c r="F15" s="4" t="s">
        <v>509</v>
      </c>
    </row>
    <row r="16" customFormat="false" ht="15" hidden="false" customHeight="false" outlineLevel="0" collapsed="false">
      <c r="A16" s="4" t="s">
        <v>537</v>
      </c>
      <c r="B16" s="4" t="s">
        <v>538</v>
      </c>
      <c r="C16" s="4" t="s">
        <v>888</v>
      </c>
      <c r="D16" s="4" t="s">
        <v>519</v>
      </c>
      <c r="E16" s="4" t="s">
        <v>9</v>
      </c>
      <c r="F16" s="4" t="s">
        <v>540</v>
      </c>
    </row>
    <row r="17" customFormat="false" ht="23.85" hidden="false" customHeight="false" outlineLevel="0" collapsed="false">
      <c r="A17" s="4" t="s">
        <v>604</v>
      </c>
      <c r="B17" s="4" t="s">
        <v>605</v>
      </c>
      <c r="C17" s="4" t="s">
        <v>889</v>
      </c>
      <c r="D17" s="4" t="s">
        <v>519</v>
      </c>
      <c r="E17" s="4" t="s">
        <v>9</v>
      </c>
      <c r="F17" s="4" t="s">
        <v>607</v>
      </c>
    </row>
    <row r="18" customFormat="false" ht="15" hidden="false" customHeight="false" outlineLevel="0" collapsed="false">
      <c r="A18" s="4" t="s">
        <v>628</v>
      </c>
      <c r="B18" s="4" t="s">
        <v>629</v>
      </c>
      <c r="C18" s="4" t="s">
        <v>890</v>
      </c>
      <c r="D18" s="4" t="s">
        <v>66</v>
      </c>
      <c r="E18" s="4" t="s">
        <v>9</v>
      </c>
      <c r="F18" s="4" t="s">
        <v>631</v>
      </c>
    </row>
    <row r="19" customFormat="false" ht="15" hidden="false" customHeight="false" outlineLevel="0" collapsed="false">
      <c r="A19" s="4" t="s">
        <v>636</v>
      </c>
      <c r="B19" s="4" t="s">
        <v>637</v>
      </c>
      <c r="C19" s="4" t="s">
        <v>891</v>
      </c>
      <c r="D19" s="4" t="s">
        <v>66</v>
      </c>
      <c r="E19" s="4" t="s">
        <v>9</v>
      </c>
      <c r="F19" s="4" t="s">
        <v>639</v>
      </c>
    </row>
    <row r="20" customFormat="false" ht="23.85" hidden="false" customHeight="false" outlineLevel="0" collapsed="false">
      <c r="A20" s="4" t="s">
        <v>651</v>
      </c>
      <c r="B20" s="4" t="s">
        <v>652</v>
      </c>
      <c r="C20" s="4" t="s">
        <v>892</v>
      </c>
      <c r="D20" s="4" t="s">
        <v>519</v>
      </c>
      <c r="E20" s="4" t="s">
        <v>9</v>
      </c>
      <c r="F20" s="4" t="s">
        <v>654</v>
      </c>
    </row>
    <row r="21" customFormat="false" ht="15" hidden="false" customHeight="false" outlineLevel="0" collapsed="false">
      <c r="A21" s="4" t="s">
        <v>673</v>
      </c>
      <c r="B21" s="4" t="s">
        <v>674</v>
      </c>
      <c r="C21" s="4" t="s">
        <v>893</v>
      </c>
      <c r="D21" s="4" t="s">
        <v>519</v>
      </c>
      <c r="E21" s="4" t="s">
        <v>9</v>
      </c>
      <c r="F21" s="4" t="s">
        <v>676</v>
      </c>
    </row>
    <row r="22" customFormat="false" ht="15" hidden="false" customHeight="false" outlineLevel="0" collapsed="false">
      <c r="A22" s="4" t="s">
        <v>706</v>
      </c>
      <c r="B22" s="4" t="s">
        <v>707</v>
      </c>
      <c r="C22" s="4" t="s">
        <v>894</v>
      </c>
      <c r="D22" s="4" t="s">
        <v>699</v>
      </c>
      <c r="E22" s="4" t="s">
        <v>9</v>
      </c>
      <c r="F22" s="4" t="s">
        <v>112</v>
      </c>
    </row>
    <row r="23" customFormat="false" ht="15" hidden="false" customHeight="false" outlineLevel="0" collapsed="false">
      <c r="A23" s="4" t="s">
        <v>732</v>
      </c>
      <c r="B23" s="4" t="s">
        <v>733</v>
      </c>
      <c r="C23" s="4" t="s">
        <v>895</v>
      </c>
      <c r="D23" s="4" t="s">
        <v>736</v>
      </c>
      <c r="E23" s="4" t="s">
        <v>9</v>
      </c>
      <c r="F23" s="4" t="s">
        <v>735</v>
      </c>
    </row>
    <row r="25" customFormat="false" ht="15" hidden="false" customHeight="false" outlineLevel="0" collapsed="false">
      <c r="A25" s="9" t="s">
        <v>896</v>
      </c>
      <c r="B25" s="8" t="n">
        <f aca="false">COUNTIF('Test Cases'!$P$5:$P$109,"P1")</f>
        <v>19</v>
      </c>
    </row>
    <row r="26" customFormat="false" ht="15" hidden="false" customHeight="false" outlineLevel="0" collapsed="false">
      <c r="A26" s="9" t="s">
        <v>897</v>
      </c>
      <c r="B26" s="8" t="s">
        <v>898</v>
      </c>
    </row>
    <row r="27" customFormat="false" ht="15" hidden="false" customHeight="false" outlineLevel="0" collapsed="false">
      <c r="A27" s="9" t="s">
        <v>899</v>
      </c>
      <c r="B27" s="8" t="str">
        <f aca="false">IF(AND(B25&gt;=15,B25&lt;=20),"Yes","No - review")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56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60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900</v>
      </c>
    </row>
    <row r="2" customFormat="false" ht="15" hidden="false" customHeight="false" outlineLevel="0" collapsed="false">
      <c r="A2" s="2" t="s">
        <v>901</v>
      </c>
    </row>
    <row r="4" customFormat="false" ht="31.5" hidden="false" customHeight="true" outlineLevel="0" collapsed="false">
      <c r="A4" s="3" t="s">
        <v>902</v>
      </c>
      <c r="B4" s="3" t="s">
        <v>2</v>
      </c>
      <c r="C4" s="3" t="s">
        <v>42</v>
      </c>
      <c r="D4" s="3" t="s">
        <v>903</v>
      </c>
      <c r="E4" s="3" t="s">
        <v>904</v>
      </c>
      <c r="F4" s="3" t="s">
        <v>905</v>
      </c>
      <c r="G4" s="3" t="s">
        <v>906</v>
      </c>
      <c r="H4" s="3" t="s">
        <v>907</v>
      </c>
      <c r="I4" s="3" t="s">
        <v>908</v>
      </c>
      <c r="J4" s="3" t="s">
        <v>909</v>
      </c>
    </row>
    <row r="5" customFormat="false" ht="15" hidden="false" customHeight="false" outlineLevel="0" collapsed="false">
      <c r="A5" s="4" t="s">
        <v>63</v>
      </c>
      <c r="B5" s="4" t="s">
        <v>910</v>
      </c>
      <c r="C5" s="4" t="s">
        <v>66</v>
      </c>
      <c r="D5" s="4" t="s">
        <v>911</v>
      </c>
      <c r="E5" s="4" t="s">
        <v>97</v>
      </c>
      <c r="F5" s="4" t="s">
        <v>88</v>
      </c>
      <c r="G5" s="14" t="s">
        <v>88</v>
      </c>
      <c r="H5" s="4" t="s">
        <v>61</v>
      </c>
      <c r="I5" s="4" t="s">
        <v>912</v>
      </c>
      <c r="J5" s="4" t="n">
        <f aca="false">COUNTIF('Test Cases'!$F$5:$F$109,"*"&amp;A5&amp;"*")</f>
        <v>2</v>
      </c>
    </row>
    <row r="6" customFormat="false" ht="15" hidden="false" customHeight="false" outlineLevel="0" collapsed="false">
      <c r="A6" s="4" t="s">
        <v>81</v>
      </c>
      <c r="B6" s="4" t="s">
        <v>910</v>
      </c>
      <c r="C6" s="4" t="s">
        <v>66</v>
      </c>
      <c r="D6" s="4" t="s">
        <v>913</v>
      </c>
      <c r="E6" s="4" t="s">
        <v>97</v>
      </c>
      <c r="F6" s="4" t="s">
        <v>97</v>
      </c>
      <c r="G6" s="16" t="s">
        <v>97</v>
      </c>
      <c r="H6" s="4" t="s">
        <v>914</v>
      </c>
      <c r="I6" s="4" t="s">
        <v>915</v>
      </c>
      <c r="J6" s="4" t="n">
        <f aca="false">COUNTIF('Test Cases'!$F$5:$F$109,"*"&amp;A6&amp;"*")</f>
        <v>3</v>
      </c>
    </row>
    <row r="7" customFormat="false" ht="23.85" hidden="false" customHeight="false" outlineLevel="0" collapsed="false">
      <c r="A7" s="4" t="s">
        <v>129</v>
      </c>
      <c r="B7" s="4" t="s">
        <v>910</v>
      </c>
      <c r="C7" s="4" t="s">
        <v>916</v>
      </c>
      <c r="D7" s="4" t="s">
        <v>917</v>
      </c>
      <c r="E7" s="4" t="s">
        <v>97</v>
      </c>
      <c r="F7" s="4" t="s">
        <v>88</v>
      </c>
      <c r="G7" s="14" t="s">
        <v>88</v>
      </c>
      <c r="H7" s="4" t="s">
        <v>918</v>
      </c>
      <c r="I7" s="4" t="s">
        <v>919</v>
      </c>
      <c r="J7" s="4" t="n">
        <f aca="false">COUNTIF('Test Cases'!$F$5:$F$109,"*"&amp;A7&amp;"*")</f>
        <v>2</v>
      </c>
    </row>
    <row r="8" customFormat="false" ht="15" hidden="false" customHeight="false" outlineLevel="0" collapsed="false">
      <c r="A8" s="4" t="s">
        <v>112</v>
      </c>
      <c r="B8" s="4" t="s">
        <v>910</v>
      </c>
      <c r="C8" s="4" t="s">
        <v>699</v>
      </c>
      <c r="D8" s="4" t="s">
        <v>920</v>
      </c>
      <c r="E8" s="4" t="s">
        <v>172</v>
      </c>
      <c r="F8" s="4" t="s">
        <v>88</v>
      </c>
      <c r="G8" s="16" t="s">
        <v>97</v>
      </c>
      <c r="H8" s="4" t="s">
        <v>921</v>
      </c>
      <c r="I8" s="4" t="s">
        <v>922</v>
      </c>
      <c r="J8" s="4" t="n">
        <f aca="false">COUNTIF('Test Cases'!$F$5:$F$109,"*"&amp;A8&amp;"*")</f>
        <v>2</v>
      </c>
    </row>
    <row r="9" customFormat="false" ht="15" hidden="false" customHeight="false" outlineLevel="0" collapsed="false">
      <c r="A9" s="4" t="s">
        <v>103</v>
      </c>
      <c r="B9" s="4" t="s">
        <v>910</v>
      </c>
      <c r="C9" s="4" t="s">
        <v>923</v>
      </c>
      <c r="D9" s="4" t="s">
        <v>924</v>
      </c>
      <c r="E9" s="4" t="s">
        <v>97</v>
      </c>
      <c r="F9" s="4" t="s">
        <v>88</v>
      </c>
      <c r="G9" s="14" t="s">
        <v>88</v>
      </c>
      <c r="H9" s="4" t="s">
        <v>925</v>
      </c>
      <c r="I9" s="4" t="s">
        <v>926</v>
      </c>
      <c r="J9" s="4" t="n">
        <f aca="false">COUNTIF('Test Cases'!$F$5:$F$109,"*"&amp;A9&amp;"*")</f>
        <v>2</v>
      </c>
    </row>
    <row r="10" customFormat="false" ht="15" hidden="false" customHeight="false" outlineLevel="0" collapsed="false">
      <c r="A10" s="4" t="s">
        <v>141</v>
      </c>
      <c r="B10" s="4" t="s">
        <v>910</v>
      </c>
      <c r="C10" s="4" t="s">
        <v>66</v>
      </c>
      <c r="D10" s="4" t="s">
        <v>927</v>
      </c>
      <c r="E10" s="4" t="s">
        <v>97</v>
      </c>
      <c r="F10" s="4" t="s">
        <v>97</v>
      </c>
      <c r="G10" s="16" t="s">
        <v>97</v>
      </c>
      <c r="H10" s="4" t="s">
        <v>140</v>
      </c>
      <c r="I10" s="4" t="s">
        <v>928</v>
      </c>
      <c r="J10" s="4" t="n">
        <f aca="false">COUNTIF('Test Cases'!$F$5:$F$109,"*"&amp;A10&amp;"*")</f>
        <v>4</v>
      </c>
    </row>
    <row r="11" customFormat="false" ht="23.85" hidden="false" customHeight="false" outlineLevel="0" collapsed="false">
      <c r="A11" s="4" t="s">
        <v>194</v>
      </c>
      <c r="B11" s="4" t="s">
        <v>929</v>
      </c>
      <c r="C11" s="4" t="s">
        <v>930</v>
      </c>
      <c r="D11" s="4" t="s">
        <v>931</v>
      </c>
      <c r="E11" s="4" t="s">
        <v>97</v>
      </c>
      <c r="F11" s="4" t="s">
        <v>88</v>
      </c>
      <c r="G11" s="14" t="s">
        <v>88</v>
      </c>
      <c r="H11" s="4" t="s">
        <v>932</v>
      </c>
      <c r="I11" s="4" t="s">
        <v>933</v>
      </c>
      <c r="J11" s="4" t="n">
        <f aca="false">COUNTIF('Test Cases'!$F$5:$F$109,"*"&amp;A11&amp;"*")</f>
        <v>9</v>
      </c>
    </row>
    <row r="12" customFormat="false" ht="15" hidden="false" customHeight="false" outlineLevel="0" collapsed="false">
      <c r="A12" s="4" t="s">
        <v>202</v>
      </c>
      <c r="B12" s="4" t="s">
        <v>929</v>
      </c>
      <c r="C12" s="4" t="s">
        <v>916</v>
      </c>
      <c r="D12" s="4" t="s">
        <v>934</v>
      </c>
      <c r="E12" s="4" t="s">
        <v>172</v>
      </c>
      <c r="F12" s="4" t="s">
        <v>88</v>
      </c>
      <c r="G12" s="16" t="s">
        <v>97</v>
      </c>
      <c r="H12" s="4" t="s">
        <v>935</v>
      </c>
      <c r="I12" s="4" t="s">
        <v>936</v>
      </c>
      <c r="J12" s="4" t="n">
        <f aca="false">COUNTIF('Test Cases'!$F$5:$F$109,"*"&amp;A12&amp;"*")</f>
        <v>3</v>
      </c>
    </row>
    <row r="13" customFormat="false" ht="15" hidden="false" customHeight="false" outlineLevel="0" collapsed="false">
      <c r="A13" s="4" t="s">
        <v>222</v>
      </c>
      <c r="B13" s="4" t="s">
        <v>929</v>
      </c>
      <c r="C13" s="4" t="s">
        <v>66</v>
      </c>
      <c r="D13" s="4" t="s">
        <v>937</v>
      </c>
      <c r="E13" s="4" t="s">
        <v>97</v>
      </c>
      <c r="F13" s="4" t="s">
        <v>97</v>
      </c>
      <c r="G13" s="16" t="s">
        <v>97</v>
      </c>
      <c r="H13" s="4" t="s">
        <v>938</v>
      </c>
      <c r="I13" s="4" t="s">
        <v>939</v>
      </c>
      <c r="J13" s="4" t="n">
        <f aca="false">COUNTIF('Test Cases'!$F$5:$F$109,"*"&amp;A13&amp;"*")</f>
        <v>2</v>
      </c>
    </row>
    <row r="14" customFormat="false" ht="15" hidden="false" customHeight="false" outlineLevel="0" collapsed="false">
      <c r="A14" s="4" t="s">
        <v>253</v>
      </c>
      <c r="B14" s="4" t="s">
        <v>940</v>
      </c>
      <c r="C14" s="4" t="s">
        <v>923</v>
      </c>
      <c r="D14" s="4" t="s">
        <v>941</v>
      </c>
      <c r="E14" s="4" t="s">
        <v>97</v>
      </c>
      <c r="F14" s="4" t="s">
        <v>88</v>
      </c>
      <c r="G14" s="14" t="s">
        <v>88</v>
      </c>
      <c r="H14" s="4" t="s">
        <v>942</v>
      </c>
      <c r="I14" s="4" t="s">
        <v>943</v>
      </c>
      <c r="J14" s="4" t="n">
        <f aca="false">COUNTIF('Test Cases'!$F$5:$F$109,"*"&amp;A14&amp;"*")</f>
        <v>5</v>
      </c>
    </row>
    <row r="15" customFormat="false" ht="15" hidden="false" customHeight="false" outlineLevel="0" collapsed="false">
      <c r="A15" s="4" t="s">
        <v>282</v>
      </c>
      <c r="B15" s="4" t="s">
        <v>940</v>
      </c>
      <c r="C15" s="4" t="s">
        <v>923</v>
      </c>
      <c r="D15" s="4" t="s">
        <v>944</v>
      </c>
      <c r="E15" s="4" t="s">
        <v>97</v>
      </c>
      <c r="F15" s="4" t="s">
        <v>88</v>
      </c>
      <c r="G15" s="14" t="s">
        <v>88</v>
      </c>
      <c r="H15" s="4" t="s">
        <v>945</v>
      </c>
      <c r="I15" s="4" t="s">
        <v>946</v>
      </c>
      <c r="J15" s="4" t="n">
        <f aca="false">COUNTIF('Test Cases'!$F$5:$F$109,"*"&amp;A15&amp;"*")</f>
        <v>2</v>
      </c>
    </row>
    <row r="16" customFormat="false" ht="15" hidden="false" customHeight="false" outlineLevel="0" collapsed="false">
      <c r="A16" s="4" t="s">
        <v>305</v>
      </c>
      <c r="B16" s="4" t="s">
        <v>940</v>
      </c>
      <c r="C16" s="4" t="s">
        <v>947</v>
      </c>
      <c r="D16" s="4" t="s">
        <v>948</v>
      </c>
      <c r="E16" s="4" t="s">
        <v>97</v>
      </c>
      <c r="F16" s="4" t="s">
        <v>88</v>
      </c>
      <c r="G16" s="14" t="s">
        <v>88</v>
      </c>
      <c r="H16" s="4" t="s">
        <v>949</v>
      </c>
      <c r="I16" s="4" t="s">
        <v>950</v>
      </c>
      <c r="J16" s="4" t="n">
        <f aca="false">COUNTIF('Test Cases'!$F$5:$F$109,"*"&amp;A16&amp;"*")</f>
        <v>2</v>
      </c>
    </row>
    <row r="17" customFormat="false" ht="15" hidden="false" customHeight="false" outlineLevel="0" collapsed="false">
      <c r="A17" s="4" t="s">
        <v>337</v>
      </c>
      <c r="B17" s="4" t="s">
        <v>940</v>
      </c>
      <c r="C17" s="4" t="s">
        <v>923</v>
      </c>
      <c r="D17" s="4" t="s">
        <v>951</v>
      </c>
      <c r="E17" s="4" t="s">
        <v>97</v>
      </c>
      <c r="F17" s="4" t="s">
        <v>88</v>
      </c>
      <c r="G17" s="14" t="s">
        <v>88</v>
      </c>
      <c r="H17" s="4" t="s">
        <v>336</v>
      </c>
      <c r="I17" s="4" t="s">
        <v>334</v>
      </c>
      <c r="J17" s="4" t="n">
        <f aca="false">COUNTIF('Test Cases'!$F$5:$F$109,"*"&amp;A17&amp;"*")</f>
        <v>1</v>
      </c>
    </row>
    <row r="18" customFormat="false" ht="15" hidden="false" customHeight="false" outlineLevel="0" collapsed="false">
      <c r="A18" s="4" t="s">
        <v>325</v>
      </c>
      <c r="B18" s="4" t="s">
        <v>940</v>
      </c>
      <c r="C18" s="4" t="s">
        <v>66</v>
      </c>
      <c r="D18" s="4" t="s">
        <v>952</v>
      </c>
      <c r="E18" s="4" t="s">
        <v>172</v>
      </c>
      <c r="F18" s="4" t="s">
        <v>97</v>
      </c>
      <c r="G18" s="13" t="s">
        <v>172</v>
      </c>
      <c r="H18" s="4" t="s">
        <v>324</v>
      </c>
      <c r="I18" s="4" t="s">
        <v>322</v>
      </c>
      <c r="J18" s="4" t="n">
        <f aca="false">COUNTIF('Test Cases'!$F$5:$F$109,"*"&amp;A18&amp;"*")</f>
        <v>1</v>
      </c>
    </row>
    <row r="19" customFormat="false" ht="15" hidden="false" customHeight="false" outlineLevel="0" collapsed="false">
      <c r="A19" s="4" t="s">
        <v>291</v>
      </c>
      <c r="B19" s="4" t="s">
        <v>940</v>
      </c>
      <c r="C19" s="4" t="s">
        <v>66</v>
      </c>
      <c r="D19" s="4" t="s">
        <v>953</v>
      </c>
      <c r="E19" s="4" t="s">
        <v>172</v>
      </c>
      <c r="F19" s="4" t="s">
        <v>172</v>
      </c>
      <c r="G19" s="13" t="s">
        <v>172</v>
      </c>
      <c r="H19" s="4" t="s">
        <v>954</v>
      </c>
      <c r="I19" s="4" t="s">
        <v>955</v>
      </c>
      <c r="J19" s="4" t="n">
        <f aca="false">COUNTIF('Test Cases'!$F$5:$F$109,"*"&amp;A19&amp;"*")</f>
        <v>5</v>
      </c>
    </row>
    <row r="20" customFormat="false" ht="23.85" hidden="false" customHeight="false" outlineLevel="0" collapsed="false">
      <c r="A20" s="4" t="s">
        <v>364</v>
      </c>
      <c r="B20" s="4" t="s">
        <v>956</v>
      </c>
      <c r="C20" s="4" t="s">
        <v>923</v>
      </c>
      <c r="D20" s="4" t="s">
        <v>957</v>
      </c>
      <c r="E20" s="4" t="s">
        <v>97</v>
      </c>
      <c r="F20" s="4" t="s">
        <v>88</v>
      </c>
      <c r="G20" s="14" t="s">
        <v>88</v>
      </c>
      <c r="H20" s="4" t="s">
        <v>958</v>
      </c>
      <c r="I20" s="4" t="s">
        <v>959</v>
      </c>
      <c r="J20" s="4" t="n">
        <f aca="false">COUNTIF('Test Cases'!$F$5:$F$109,"*"&amp;A20&amp;"*")</f>
        <v>5</v>
      </c>
    </row>
    <row r="21" customFormat="false" ht="15" hidden="false" customHeight="false" outlineLevel="0" collapsed="false">
      <c r="A21" s="4" t="s">
        <v>381</v>
      </c>
      <c r="B21" s="4" t="s">
        <v>956</v>
      </c>
      <c r="C21" s="4" t="s">
        <v>923</v>
      </c>
      <c r="D21" s="4" t="s">
        <v>960</v>
      </c>
      <c r="E21" s="4" t="s">
        <v>97</v>
      </c>
      <c r="F21" s="4" t="s">
        <v>88</v>
      </c>
      <c r="G21" s="14" t="s">
        <v>88</v>
      </c>
      <c r="H21" s="4" t="s">
        <v>961</v>
      </c>
      <c r="I21" s="4" t="s">
        <v>962</v>
      </c>
      <c r="J21" s="4" t="n">
        <f aca="false">COUNTIF('Test Cases'!$F$5:$F$109,"*"&amp;A21&amp;"*")</f>
        <v>2</v>
      </c>
    </row>
    <row r="22" customFormat="false" ht="15" hidden="false" customHeight="false" outlineLevel="0" collapsed="false">
      <c r="A22" s="4" t="s">
        <v>397</v>
      </c>
      <c r="B22" s="4" t="s">
        <v>956</v>
      </c>
      <c r="C22" s="4" t="s">
        <v>923</v>
      </c>
      <c r="D22" s="4" t="s">
        <v>963</v>
      </c>
      <c r="E22" s="4" t="s">
        <v>97</v>
      </c>
      <c r="F22" s="4" t="s">
        <v>88</v>
      </c>
      <c r="G22" s="14" t="s">
        <v>88</v>
      </c>
      <c r="H22" s="4" t="s">
        <v>964</v>
      </c>
      <c r="I22" s="4" t="s">
        <v>965</v>
      </c>
      <c r="J22" s="4" t="n">
        <f aca="false">COUNTIF('Test Cases'!$F$5:$F$109,"*"&amp;A22&amp;"*")</f>
        <v>4</v>
      </c>
    </row>
    <row r="23" customFormat="false" ht="15" hidden="false" customHeight="false" outlineLevel="0" collapsed="false">
      <c r="A23" s="4" t="s">
        <v>690</v>
      </c>
      <c r="B23" s="4" t="s">
        <v>956</v>
      </c>
      <c r="C23" s="4" t="s">
        <v>947</v>
      </c>
      <c r="D23" s="4" t="s">
        <v>966</v>
      </c>
      <c r="E23" s="4" t="s">
        <v>172</v>
      </c>
      <c r="F23" s="4" t="s">
        <v>88</v>
      </c>
      <c r="G23" s="16" t="s">
        <v>97</v>
      </c>
      <c r="H23" s="4" t="s">
        <v>967</v>
      </c>
      <c r="I23" s="4" t="s">
        <v>968</v>
      </c>
      <c r="J23" s="4" t="n">
        <f aca="false">COUNTIF('Test Cases'!$F$5:$F$109,"*"&amp;A23&amp;"*")</f>
        <v>3</v>
      </c>
    </row>
    <row r="24" customFormat="false" ht="15" hidden="false" customHeight="false" outlineLevel="0" collapsed="false">
      <c r="A24" s="4" t="s">
        <v>460</v>
      </c>
      <c r="B24" s="4" t="s">
        <v>969</v>
      </c>
      <c r="C24" s="4" t="s">
        <v>923</v>
      </c>
      <c r="D24" s="4" t="s">
        <v>970</v>
      </c>
      <c r="E24" s="4" t="s">
        <v>97</v>
      </c>
      <c r="F24" s="4" t="s">
        <v>88</v>
      </c>
      <c r="G24" s="14" t="s">
        <v>88</v>
      </c>
      <c r="H24" s="4" t="s">
        <v>459</v>
      </c>
      <c r="I24" s="4" t="s">
        <v>457</v>
      </c>
      <c r="J24" s="4" t="n">
        <f aca="false">COUNTIF('Test Cases'!$F$5:$F$109,"*"&amp;A24&amp;"*")</f>
        <v>1</v>
      </c>
    </row>
    <row r="25" customFormat="false" ht="15" hidden="false" customHeight="false" outlineLevel="0" collapsed="false">
      <c r="A25" s="4" t="s">
        <v>487</v>
      </c>
      <c r="B25" s="4" t="s">
        <v>969</v>
      </c>
      <c r="C25" s="4" t="s">
        <v>66</v>
      </c>
      <c r="D25" s="4" t="s">
        <v>971</v>
      </c>
      <c r="E25" s="4" t="s">
        <v>97</v>
      </c>
      <c r="F25" s="4" t="s">
        <v>97</v>
      </c>
      <c r="G25" s="16" t="s">
        <v>97</v>
      </c>
      <c r="H25" s="4" t="s">
        <v>486</v>
      </c>
      <c r="I25" s="4" t="s">
        <v>484</v>
      </c>
      <c r="J25" s="4" t="n">
        <f aca="false">COUNTIF('Test Cases'!$F$5:$F$109,"*"&amp;A25&amp;"*")</f>
        <v>1</v>
      </c>
    </row>
    <row r="26" customFormat="false" ht="15" hidden="false" customHeight="false" outlineLevel="0" collapsed="false">
      <c r="A26" s="4" t="s">
        <v>469</v>
      </c>
      <c r="B26" s="4" t="s">
        <v>969</v>
      </c>
      <c r="C26" s="4" t="s">
        <v>923</v>
      </c>
      <c r="D26" s="4" t="s">
        <v>972</v>
      </c>
      <c r="E26" s="4" t="s">
        <v>172</v>
      </c>
      <c r="F26" s="4" t="s">
        <v>97</v>
      </c>
      <c r="G26" s="13" t="s">
        <v>172</v>
      </c>
      <c r="H26" s="4" t="s">
        <v>973</v>
      </c>
      <c r="I26" s="4" t="s">
        <v>974</v>
      </c>
      <c r="J26" s="4" t="n">
        <f aca="false">COUNTIF('Test Cases'!$F$5:$F$109,"*"&amp;A26&amp;"*")</f>
        <v>3</v>
      </c>
    </row>
    <row r="27" customFormat="false" ht="15" hidden="false" customHeight="false" outlineLevel="0" collapsed="false">
      <c r="A27" s="4" t="s">
        <v>450</v>
      </c>
      <c r="B27" s="4" t="s">
        <v>969</v>
      </c>
      <c r="C27" s="4" t="s">
        <v>66</v>
      </c>
      <c r="D27" s="4" t="s">
        <v>975</v>
      </c>
      <c r="E27" s="4" t="s">
        <v>172</v>
      </c>
      <c r="F27" s="4" t="s">
        <v>97</v>
      </c>
      <c r="G27" s="13" t="s">
        <v>172</v>
      </c>
      <c r="H27" s="4" t="s">
        <v>503</v>
      </c>
      <c r="I27" s="4" t="s">
        <v>976</v>
      </c>
      <c r="J27" s="4" t="n">
        <f aca="false">COUNTIF('Test Cases'!$F$5:$F$109,"*"&amp;A27&amp;"*")</f>
        <v>2</v>
      </c>
    </row>
    <row r="28" customFormat="false" ht="23.85" hidden="false" customHeight="false" outlineLevel="0" collapsed="false">
      <c r="A28" s="4" t="s">
        <v>509</v>
      </c>
      <c r="B28" s="4" t="s">
        <v>977</v>
      </c>
      <c r="C28" s="4" t="s">
        <v>930</v>
      </c>
      <c r="D28" s="4" t="s">
        <v>978</v>
      </c>
      <c r="E28" s="4" t="s">
        <v>97</v>
      </c>
      <c r="F28" s="4" t="s">
        <v>88</v>
      </c>
      <c r="G28" s="14" t="s">
        <v>88</v>
      </c>
      <c r="H28" s="4" t="s">
        <v>979</v>
      </c>
      <c r="I28" s="4" t="s">
        <v>980</v>
      </c>
      <c r="J28" s="4" t="n">
        <f aca="false">COUNTIF('Test Cases'!$F$5:$F$109,"*"&amp;A28&amp;"*")</f>
        <v>7</v>
      </c>
    </row>
    <row r="29" customFormat="false" ht="15" hidden="false" customHeight="false" outlineLevel="0" collapsed="false">
      <c r="A29" s="4" t="s">
        <v>540</v>
      </c>
      <c r="B29" s="4" t="s">
        <v>977</v>
      </c>
      <c r="C29" s="4" t="s">
        <v>930</v>
      </c>
      <c r="D29" s="4" t="s">
        <v>981</v>
      </c>
      <c r="E29" s="4" t="s">
        <v>97</v>
      </c>
      <c r="F29" s="4" t="s">
        <v>88</v>
      </c>
      <c r="G29" s="14" t="s">
        <v>88</v>
      </c>
      <c r="H29" s="4" t="s">
        <v>982</v>
      </c>
      <c r="I29" s="4" t="s">
        <v>983</v>
      </c>
      <c r="J29" s="4" t="n">
        <f aca="false">COUNTIF('Test Cases'!$F$5:$F$109,"*"&amp;A29&amp;"*")</f>
        <v>2</v>
      </c>
    </row>
    <row r="30" customFormat="false" ht="15" hidden="false" customHeight="false" outlineLevel="0" collapsed="false">
      <c r="A30" s="4" t="s">
        <v>560</v>
      </c>
      <c r="B30" s="4" t="s">
        <v>977</v>
      </c>
      <c r="C30" s="4" t="s">
        <v>923</v>
      </c>
      <c r="D30" s="4" t="s">
        <v>984</v>
      </c>
      <c r="E30" s="4" t="s">
        <v>97</v>
      </c>
      <c r="F30" s="4" t="s">
        <v>97</v>
      </c>
      <c r="G30" s="16" t="s">
        <v>97</v>
      </c>
      <c r="H30" s="4" t="s">
        <v>559</v>
      </c>
      <c r="I30" s="4" t="s">
        <v>557</v>
      </c>
      <c r="J30" s="4" t="n">
        <f aca="false">COUNTIF('Test Cases'!$F$5:$F$109,"*"&amp;A30&amp;"*")</f>
        <v>1</v>
      </c>
    </row>
    <row r="31" customFormat="false" ht="15" hidden="false" customHeight="false" outlineLevel="0" collapsed="false">
      <c r="A31" s="4" t="s">
        <v>548</v>
      </c>
      <c r="B31" s="4" t="s">
        <v>977</v>
      </c>
      <c r="C31" s="4" t="s">
        <v>66</v>
      </c>
      <c r="D31" s="4" t="s">
        <v>985</v>
      </c>
      <c r="E31" s="4" t="s">
        <v>172</v>
      </c>
      <c r="F31" s="4" t="s">
        <v>97</v>
      </c>
      <c r="G31" s="13" t="s">
        <v>172</v>
      </c>
      <c r="H31" s="4" t="s">
        <v>986</v>
      </c>
      <c r="I31" s="4" t="s">
        <v>987</v>
      </c>
      <c r="J31" s="4" t="n">
        <f aca="false">COUNTIF('Test Cases'!$F$5:$F$109,"*"&amp;A31&amp;"*")</f>
        <v>3</v>
      </c>
    </row>
    <row r="32" customFormat="false" ht="15" hidden="false" customHeight="false" outlineLevel="0" collapsed="false">
      <c r="A32" s="4" t="s">
        <v>567</v>
      </c>
      <c r="B32" s="4" t="s">
        <v>977</v>
      </c>
      <c r="C32" s="4" t="s">
        <v>947</v>
      </c>
      <c r="D32" s="4" t="s">
        <v>988</v>
      </c>
      <c r="E32" s="4" t="s">
        <v>172</v>
      </c>
      <c r="F32" s="4" t="s">
        <v>97</v>
      </c>
      <c r="G32" s="13" t="s">
        <v>172</v>
      </c>
      <c r="H32" s="4" t="s">
        <v>566</v>
      </c>
      <c r="I32" s="4" t="s">
        <v>564</v>
      </c>
      <c r="J32" s="4" t="n">
        <f aca="false">COUNTIF('Test Cases'!$F$5:$F$109,"*"&amp;A32&amp;"*")</f>
        <v>1</v>
      </c>
    </row>
    <row r="33" customFormat="false" ht="15" hidden="false" customHeight="false" outlineLevel="0" collapsed="false">
      <c r="A33" s="4" t="s">
        <v>607</v>
      </c>
      <c r="B33" s="4" t="s">
        <v>989</v>
      </c>
      <c r="C33" s="4" t="s">
        <v>930</v>
      </c>
      <c r="D33" s="4" t="s">
        <v>990</v>
      </c>
      <c r="E33" s="4" t="s">
        <v>97</v>
      </c>
      <c r="F33" s="4" t="s">
        <v>88</v>
      </c>
      <c r="G33" s="14" t="s">
        <v>88</v>
      </c>
      <c r="H33" s="4" t="s">
        <v>991</v>
      </c>
      <c r="I33" s="4" t="s">
        <v>992</v>
      </c>
      <c r="J33" s="4" t="n">
        <f aca="false">COUNTIF('Test Cases'!$F$5:$F$109,"*"&amp;A33&amp;"*")</f>
        <v>3</v>
      </c>
    </row>
    <row r="34" customFormat="false" ht="15" hidden="false" customHeight="false" outlineLevel="0" collapsed="false">
      <c r="A34" s="4" t="s">
        <v>316</v>
      </c>
      <c r="B34" s="4" t="s">
        <v>989</v>
      </c>
      <c r="C34" s="4" t="s">
        <v>923</v>
      </c>
      <c r="D34" s="4" t="s">
        <v>993</v>
      </c>
      <c r="E34" s="4" t="s">
        <v>97</v>
      </c>
      <c r="F34" s="4" t="s">
        <v>97</v>
      </c>
      <c r="G34" s="16" t="s">
        <v>97</v>
      </c>
      <c r="H34" s="4" t="s">
        <v>994</v>
      </c>
      <c r="I34" s="4" t="s">
        <v>995</v>
      </c>
      <c r="J34" s="4" t="n">
        <f aca="false">COUNTIF('Test Cases'!$F$5:$F$109,"*"&amp;A34&amp;"*")</f>
        <v>5</v>
      </c>
    </row>
    <row r="35" customFormat="false" ht="15" hidden="false" customHeight="false" outlineLevel="0" collapsed="false">
      <c r="A35" s="4" t="s">
        <v>631</v>
      </c>
      <c r="B35" s="4" t="s">
        <v>989</v>
      </c>
      <c r="C35" s="4" t="s">
        <v>66</v>
      </c>
      <c r="D35" s="4" t="s">
        <v>996</v>
      </c>
      <c r="E35" s="4" t="s">
        <v>97</v>
      </c>
      <c r="F35" s="4" t="s">
        <v>88</v>
      </c>
      <c r="G35" s="14" t="s">
        <v>88</v>
      </c>
      <c r="H35" s="4" t="s">
        <v>630</v>
      </c>
      <c r="I35" s="4" t="s">
        <v>628</v>
      </c>
      <c r="J35" s="4" t="n">
        <f aca="false">COUNTIF('Test Cases'!$F$5:$F$109,"*"&amp;A35&amp;"*")</f>
        <v>1</v>
      </c>
    </row>
    <row r="36" customFormat="false" ht="15" hidden="false" customHeight="false" outlineLevel="0" collapsed="false">
      <c r="A36" s="4" t="s">
        <v>615</v>
      </c>
      <c r="B36" s="4" t="s">
        <v>989</v>
      </c>
      <c r="C36" s="4" t="s">
        <v>66</v>
      </c>
      <c r="D36" s="4" t="s">
        <v>997</v>
      </c>
      <c r="E36" s="4" t="s">
        <v>172</v>
      </c>
      <c r="F36" s="4" t="s">
        <v>172</v>
      </c>
      <c r="G36" s="13" t="s">
        <v>172</v>
      </c>
      <c r="H36" s="4" t="s">
        <v>998</v>
      </c>
      <c r="I36" s="4" t="s">
        <v>999</v>
      </c>
      <c r="J36" s="4" t="n">
        <f aca="false">COUNTIF('Test Cases'!$F$5:$F$109,"*"&amp;A36&amp;"*")</f>
        <v>2</v>
      </c>
    </row>
    <row r="37" customFormat="false" ht="15" hidden="false" customHeight="false" outlineLevel="0" collapsed="false">
      <c r="A37" s="4" t="s">
        <v>639</v>
      </c>
      <c r="B37" s="4" t="s">
        <v>1000</v>
      </c>
      <c r="C37" s="4" t="s">
        <v>947</v>
      </c>
      <c r="D37" s="4" t="s">
        <v>1001</v>
      </c>
      <c r="E37" s="4" t="s">
        <v>97</v>
      </c>
      <c r="F37" s="4" t="s">
        <v>88</v>
      </c>
      <c r="G37" s="14" t="s">
        <v>88</v>
      </c>
      <c r="H37" s="4" t="s">
        <v>1002</v>
      </c>
      <c r="I37" s="4" t="s">
        <v>1003</v>
      </c>
      <c r="J37" s="4" t="n">
        <f aca="false">COUNTIF('Test Cases'!$F$5:$F$109,"*"&amp;A37&amp;"*")</f>
        <v>4</v>
      </c>
    </row>
    <row r="38" customFormat="false" ht="23.85" hidden="false" customHeight="false" outlineLevel="0" collapsed="false">
      <c r="A38" s="4" t="s">
        <v>654</v>
      </c>
      <c r="B38" s="4" t="s">
        <v>1000</v>
      </c>
      <c r="C38" s="4" t="s">
        <v>916</v>
      </c>
      <c r="D38" s="4" t="s">
        <v>1004</v>
      </c>
      <c r="E38" s="4" t="s">
        <v>172</v>
      </c>
      <c r="F38" s="4" t="s">
        <v>88</v>
      </c>
      <c r="G38" s="16" t="s">
        <v>97</v>
      </c>
      <c r="H38" s="4" t="s">
        <v>1005</v>
      </c>
      <c r="I38" s="4" t="s">
        <v>1006</v>
      </c>
      <c r="J38" s="4" t="n">
        <f aca="false">COUNTIF('Test Cases'!$F$5:$F$109,"*"&amp;A38&amp;"*")</f>
        <v>6</v>
      </c>
    </row>
    <row r="39" customFormat="false" ht="15" hidden="false" customHeight="false" outlineLevel="0" collapsed="false">
      <c r="A39" s="4" t="s">
        <v>1007</v>
      </c>
      <c r="B39" s="4" t="s">
        <v>1000</v>
      </c>
      <c r="C39" s="4" t="s">
        <v>699</v>
      </c>
      <c r="D39" s="4" t="s">
        <v>1008</v>
      </c>
      <c r="E39" s="4" t="s">
        <v>97</v>
      </c>
      <c r="F39" s="4" t="s">
        <v>88</v>
      </c>
      <c r="G39" s="14" t="s">
        <v>88</v>
      </c>
      <c r="H39" s="4" t="s">
        <v>734</v>
      </c>
      <c r="I39" s="4" t="s">
        <v>732</v>
      </c>
      <c r="J39" s="4" t="n">
        <f aca="false">COUNTIF('Test Cases'!$F$5:$F$109,"*"&amp;A39&amp;"*")</f>
        <v>1</v>
      </c>
    </row>
    <row r="40" customFormat="false" ht="15" hidden="false" customHeight="false" outlineLevel="0" collapsed="false">
      <c r="A40" s="4" t="s">
        <v>663</v>
      </c>
      <c r="B40" s="4" t="s">
        <v>1000</v>
      </c>
      <c r="C40" s="4" t="s">
        <v>66</v>
      </c>
      <c r="D40" s="4" t="s">
        <v>1009</v>
      </c>
      <c r="E40" s="4" t="s">
        <v>172</v>
      </c>
      <c r="F40" s="4" t="s">
        <v>97</v>
      </c>
      <c r="G40" s="13" t="s">
        <v>172</v>
      </c>
      <c r="H40" s="4" t="s">
        <v>662</v>
      </c>
      <c r="I40" s="4" t="s">
        <v>660</v>
      </c>
      <c r="J40" s="4" t="n">
        <f aca="false">COUNTIF('Test Cases'!$F$5:$F$109,"*"&amp;A40&amp;"*")</f>
        <v>1</v>
      </c>
    </row>
    <row r="41" customFormat="false" ht="15" hidden="false" customHeight="false" outlineLevel="0" collapsed="false">
      <c r="A41" s="4" t="s">
        <v>698</v>
      </c>
      <c r="B41" s="4" t="s">
        <v>1010</v>
      </c>
      <c r="C41" s="4" t="s">
        <v>923</v>
      </c>
      <c r="D41" s="4" t="s">
        <v>1011</v>
      </c>
      <c r="E41" s="4" t="s">
        <v>97</v>
      </c>
      <c r="F41" s="4" t="s">
        <v>88</v>
      </c>
      <c r="G41" s="14" t="s">
        <v>88</v>
      </c>
      <c r="H41" s="4" t="s">
        <v>778</v>
      </c>
      <c r="I41" s="4" t="s">
        <v>1012</v>
      </c>
      <c r="J41" s="4" t="n">
        <f aca="false">COUNTIF('Test Cases'!$F$5:$F$109,"*"&amp;A41&amp;"*")</f>
        <v>4</v>
      </c>
    </row>
    <row r="42" customFormat="false" ht="15" hidden="false" customHeight="false" outlineLevel="0" collapsed="false">
      <c r="A42" s="4" t="s">
        <v>846</v>
      </c>
      <c r="B42" s="4" t="s">
        <v>1010</v>
      </c>
      <c r="C42" s="4" t="s">
        <v>848</v>
      </c>
      <c r="D42" s="4" t="s">
        <v>1013</v>
      </c>
      <c r="E42" s="4" t="s">
        <v>97</v>
      </c>
      <c r="F42" s="4" t="s">
        <v>97</v>
      </c>
      <c r="G42" s="16" t="s">
        <v>97</v>
      </c>
      <c r="H42" s="4" t="s">
        <v>844</v>
      </c>
      <c r="I42" s="4" t="s">
        <v>842</v>
      </c>
      <c r="J42" s="4" t="n">
        <f aca="false">COUNTIF('Test Cases'!$F$5:$F$109,"*"&amp;A42&amp;"*")</f>
        <v>1</v>
      </c>
    </row>
    <row r="43" customFormat="false" ht="15" hidden="false" customHeight="false" outlineLevel="0" collapsed="false">
      <c r="A43" s="4" t="s">
        <v>858</v>
      </c>
      <c r="B43" s="4" t="s">
        <v>1010</v>
      </c>
      <c r="C43" s="4" t="s">
        <v>1014</v>
      </c>
      <c r="D43" s="4" t="s">
        <v>1015</v>
      </c>
      <c r="E43" s="4" t="s">
        <v>97</v>
      </c>
      <c r="F43" s="4" t="s">
        <v>97</v>
      </c>
      <c r="G43" s="16" t="s">
        <v>97</v>
      </c>
      <c r="H43" s="4" t="s">
        <v>857</v>
      </c>
      <c r="I43" s="4" t="s">
        <v>1016</v>
      </c>
      <c r="J43" s="4" t="n">
        <f aca="false">COUNTIF('Test Cases'!$F$5:$F$109,"*"&amp;A43&amp;"*")</f>
        <v>2</v>
      </c>
    </row>
    <row r="44" customFormat="false" ht="15" hidden="false" customHeight="false" outlineLevel="0" collapsed="false">
      <c r="A44" s="4" t="s">
        <v>865</v>
      </c>
      <c r="B44" s="4" t="s">
        <v>1010</v>
      </c>
      <c r="C44" s="4" t="s">
        <v>1017</v>
      </c>
      <c r="D44" s="4" t="s">
        <v>1018</v>
      </c>
      <c r="E44" s="4" t="s">
        <v>97</v>
      </c>
      <c r="F44" s="4" t="s">
        <v>97</v>
      </c>
      <c r="G44" s="16" t="s">
        <v>97</v>
      </c>
      <c r="H44" s="4" t="s">
        <v>864</v>
      </c>
      <c r="I44" s="4" t="s">
        <v>862</v>
      </c>
      <c r="J44" s="4" t="n">
        <f aca="false">COUNTIF('Test Cases'!$F$5:$F$109,"*"&amp;A44&amp;"*")</f>
        <v>1</v>
      </c>
    </row>
    <row r="45" customFormat="false" ht="23.85" hidden="false" customHeight="false" outlineLevel="0" collapsed="false">
      <c r="A45" s="4" t="s">
        <v>1019</v>
      </c>
      <c r="B45" s="4" t="s">
        <v>1010</v>
      </c>
      <c r="C45" s="4" t="s">
        <v>786</v>
      </c>
      <c r="D45" s="4" t="s">
        <v>1020</v>
      </c>
      <c r="E45" s="4" t="s">
        <v>97</v>
      </c>
      <c r="F45" s="4" t="s">
        <v>97</v>
      </c>
      <c r="G45" s="16" t="s">
        <v>97</v>
      </c>
      <c r="H45" s="4" t="s">
        <v>1021</v>
      </c>
      <c r="I45" s="4" t="s">
        <v>1022</v>
      </c>
      <c r="J45" s="4" t="n">
        <f aca="false">COUNTIF('Test Cases'!$F$5:$F$109,"*"&amp;A45&amp;"*")</f>
        <v>10</v>
      </c>
    </row>
    <row r="47" customFormat="false" ht="15" hidden="false" customHeight="false" outlineLevel="0" collapsed="false">
      <c r="A47" s="9" t="s">
        <v>1023</v>
      </c>
      <c r="D47" s="8" t="n">
        <f aca="false">COUNTIF(J5:J45,0)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1024</v>
      </c>
    </row>
    <row r="2" customFormat="false" ht="15" hidden="false" customHeight="false" outlineLevel="0" collapsed="false">
      <c r="A2" s="2" t="s">
        <v>1025</v>
      </c>
    </row>
    <row r="4" customFormat="false" ht="31.5" hidden="false" customHeight="true" outlineLevel="0" collapsed="false">
      <c r="A4" s="3" t="s">
        <v>1026</v>
      </c>
      <c r="B4" s="3" t="s">
        <v>2</v>
      </c>
      <c r="C4" s="3" t="s">
        <v>1027</v>
      </c>
      <c r="D4" s="3" t="s">
        <v>1028</v>
      </c>
      <c r="E4" s="3" t="s">
        <v>908</v>
      </c>
      <c r="F4" s="3" t="s">
        <v>909</v>
      </c>
      <c r="G4" s="3" t="s">
        <v>1029</v>
      </c>
      <c r="H4" s="3" t="s">
        <v>1030</v>
      </c>
    </row>
    <row r="5" customFormat="false" ht="15" hidden="false" customHeight="false" outlineLevel="0" collapsed="false">
      <c r="A5" s="4" t="s">
        <v>1031</v>
      </c>
      <c r="B5" s="4" t="s">
        <v>910</v>
      </c>
      <c r="C5" s="4" t="s">
        <v>911</v>
      </c>
      <c r="D5" s="11"/>
      <c r="E5" s="4" t="s">
        <v>59</v>
      </c>
      <c r="F5" s="4" t="n">
        <f aca="false">COUNTIF('Test Cases'!$G$5:$G$109,"*"&amp;A5&amp;"*")</f>
        <v>1</v>
      </c>
      <c r="G5" s="11"/>
      <c r="H5" s="11"/>
    </row>
    <row r="6" customFormat="false" ht="15" hidden="false" customHeight="false" outlineLevel="0" collapsed="false">
      <c r="A6" s="4" t="s">
        <v>1032</v>
      </c>
      <c r="B6" s="4" t="s">
        <v>910</v>
      </c>
      <c r="C6" s="4" t="s">
        <v>1033</v>
      </c>
      <c r="D6" s="11"/>
      <c r="E6" s="4" t="s">
        <v>1034</v>
      </c>
      <c r="F6" s="4" t="n">
        <f aca="false">COUNTIF('Test Cases'!$G$5:$G$109,"*"&amp;A6&amp;"*")</f>
        <v>3</v>
      </c>
      <c r="G6" s="11"/>
      <c r="H6" s="11"/>
    </row>
    <row r="7" customFormat="false" ht="15" hidden="false" customHeight="false" outlineLevel="0" collapsed="false">
      <c r="A7" s="4" t="s">
        <v>1035</v>
      </c>
      <c r="B7" s="4" t="s">
        <v>910</v>
      </c>
      <c r="C7" s="4" t="s">
        <v>1036</v>
      </c>
      <c r="D7" s="11"/>
      <c r="E7" s="4" t="s">
        <v>1037</v>
      </c>
      <c r="F7" s="4" t="n">
        <f aca="false">COUNTIF('Test Cases'!$G$5:$G$109,"*"&amp;A7&amp;"*")</f>
        <v>2</v>
      </c>
      <c r="G7" s="11"/>
      <c r="H7" s="11"/>
    </row>
    <row r="8" customFormat="false" ht="15" hidden="false" customHeight="false" outlineLevel="0" collapsed="false">
      <c r="A8" s="4" t="s">
        <v>1038</v>
      </c>
      <c r="B8" s="4" t="s">
        <v>940</v>
      </c>
      <c r="C8" s="4" t="s">
        <v>1039</v>
      </c>
      <c r="D8" s="11"/>
      <c r="E8" s="4" t="s">
        <v>1040</v>
      </c>
      <c r="F8" s="4" t="n">
        <f aca="false">COUNTIF('Test Cases'!$G$5:$G$109,"*"&amp;A8&amp;"*")</f>
        <v>2</v>
      </c>
      <c r="G8" s="11"/>
      <c r="H8" s="11"/>
    </row>
    <row r="9" customFormat="false" ht="15" hidden="false" customHeight="false" outlineLevel="0" collapsed="false">
      <c r="A9" s="4" t="s">
        <v>1041</v>
      </c>
      <c r="B9" s="4" t="s">
        <v>940</v>
      </c>
      <c r="C9" s="4" t="s">
        <v>944</v>
      </c>
      <c r="D9" s="11"/>
      <c r="E9" s="4" t="s">
        <v>1042</v>
      </c>
      <c r="F9" s="4" t="n">
        <f aca="false">COUNTIF('Test Cases'!$G$5:$G$109,"*"&amp;A9&amp;"*")</f>
        <v>3</v>
      </c>
      <c r="G9" s="11"/>
      <c r="H9" s="11"/>
    </row>
    <row r="10" customFormat="false" ht="15" hidden="false" customHeight="false" outlineLevel="0" collapsed="false">
      <c r="A10" s="4" t="s">
        <v>1043</v>
      </c>
      <c r="B10" s="4" t="s">
        <v>989</v>
      </c>
      <c r="C10" s="4" t="s">
        <v>1044</v>
      </c>
      <c r="D10" s="11"/>
      <c r="E10" s="4" t="s">
        <v>1045</v>
      </c>
      <c r="F10" s="4" t="n">
        <f aca="false">COUNTIF('Test Cases'!$G$5:$G$109,"*"&amp;A10&amp;"*")</f>
        <v>2</v>
      </c>
      <c r="G10" s="11"/>
      <c r="H10" s="11"/>
    </row>
    <row r="11" customFormat="false" ht="15" hidden="false" customHeight="false" outlineLevel="0" collapsed="false">
      <c r="A11" s="4" t="s">
        <v>1046</v>
      </c>
      <c r="B11" s="4" t="s">
        <v>940</v>
      </c>
      <c r="C11" s="4" t="s">
        <v>1047</v>
      </c>
      <c r="D11" s="11"/>
      <c r="E11" s="4" t="s">
        <v>302</v>
      </c>
      <c r="F11" s="4" t="n">
        <f aca="false">COUNTIF('Test Cases'!$G$5:$G$109,"*"&amp;A11&amp;"*")</f>
        <v>1</v>
      </c>
      <c r="G11" s="11"/>
      <c r="H11" s="11"/>
    </row>
    <row r="12" customFormat="false" ht="15" hidden="false" customHeight="false" outlineLevel="0" collapsed="false">
      <c r="A12" s="4" t="s">
        <v>1048</v>
      </c>
      <c r="B12" s="4" t="s">
        <v>940</v>
      </c>
      <c r="C12" s="4" t="s">
        <v>951</v>
      </c>
      <c r="D12" s="11"/>
      <c r="E12" s="4" t="s">
        <v>334</v>
      </c>
      <c r="F12" s="4" t="n">
        <f aca="false">COUNTIF('Test Cases'!$G$5:$G$109,"*"&amp;A12&amp;"*")</f>
        <v>1</v>
      </c>
      <c r="G12" s="11"/>
      <c r="H12" s="11"/>
    </row>
    <row r="13" customFormat="false" ht="15" hidden="false" customHeight="false" outlineLevel="0" collapsed="false">
      <c r="A13" s="4" t="s">
        <v>1049</v>
      </c>
      <c r="B13" s="4" t="s">
        <v>956</v>
      </c>
      <c r="C13" s="4" t="s">
        <v>1050</v>
      </c>
      <c r="D13" s="11"/>
      <c r="E13" s="4" t="s">
        <v>1051</v>
      </c>
      <c r="F13" s="4" t="n">
        <f aca="false">COUNTIF('Test Cases'!$G$5:$G$109,"*"&amp;A13&amp;"*")</f>
        <v>2</v>
      </c>
      <c r="G13" s="11"/>
      <c r="H13" s="11"/>
    </row>
    <row r="14" customFormat="false" ht="15" hidden="false" customHeight="false" outlineLevel="0" collapsed="false">
      <c r="A14" s="4" t="s">
        <v>1052</v>
      </c>
      <c r="B14" s="4" t="s">
        <v>969</v>
      </c>
      <c r="C14" s="4" t="s">
        <v>970</v>
      </c>
      <c r="D14" s="11"/>
      <c r="E14" s="4" t="s">
        <v>457</v>
      </c>
      <c r="F14" s="4" t="n">
        <f aca="false">COUNTIF('Test Cases'!$G$5:$G$109,"*"&amp;A14&amp;"*")</f>
        <v>1</v>
      </c>
      <c r="G14" s="11"/>
      <c r="H14" s="11"/>
    </row>
    <row r="15" customFormat="false" ht="15" hidden="false" customHeight="false" outlineLevel="0" collapsed="false">
      <c r="A15" s="4" t="s">
        <v>1053</v>
      </c>
      <c r="B15" s="4" t="s">
        <v>969</v>
      </c>
      <c r="C15" s="4" t="s">
        <v>1054</v>
      </c>
      <c r="D15" s="11"/>
      <c r="E15" s="4" t="s">
        <v>484</v>
      </c>
      <c r="F15" s="4" t="n">
        <f aca="false">COUNTIF('Test Cases'!$G$5:$G$109,"*"&amp;A15&amp;"*")</f>
        <v>1</v>
      </c>
      <c r="G15" s="11"/>
      <c r="H15" s="11"/>
    </row>
    <row r="16" customFormat="false" ht="15" hidden="false" customHeight="false" outlineLevel="0" collapsed="false">
      <c r="A16" s="4" t="s">
        <v>1055</v>
      </c>
      <c r="B16" s="4" t="s">
        <v>956</v>
      </c>
      <c r="C16" s="4" t="s">
        <v>1056</v>
      </c>
      <c r="D16" s="11"/>
      <c r="E16" s="4" t="s">
        <v>1057</v>
      </c>
      <c r="F16" s="4" t="n">
        <f aca="false">COUNTIF('Test Cases'!$G$5:$G$109,"*"&amp;A16&amp;"*")</f>
        <v>3</v>
      </c>
      <c r="G16" s="11"/>
      <c r="H16" s="11"/>
    </row>
    <row r="17" customFormat="false" ht="15" hidden="false" customHeight="false" outlineLevel="0" collapsed="false">
      <c r="A17" s="4" t="s">
        <v>1058</v>
      </c>
      <c r="B17" s="4" t="s">
        <v>977</v>
      </c>
      <c r="C17" s="4" t="s">
        <v>1059</v>
      </c>
      <c r="D17" s="11"/>
      <c r="E17" s="4" t="s">
        <v>1060</v>
      </c>
      <c r="F17" s="4" t="n">
        <f aca="false">COUNTIF('Test Cases'!$G$5:$G$109,"*"&amp;A17&amp;"*")</f>
        <v>3</v>
      </c>
      <c r="G17" s="11"/>
      <c r="H17" s="11"/>
    </row>
    <row r="18" customFormat="false" ht="15" hidden="false" customHeight="false" outlineLevel="0" collapsed="false">
      <c r="A18" s="4" t="s">
        <v>1061</v>
      </c>
      <c r="B18" s="4" t="s">
        <v>977</v>
      </c>
      <c r="C18" s="4" t="s">
        <v>1062</v>
      </c>
      <c r="D18" s="11"/>
      <c r="E18" s="4" t="s">
        <v>537</v>
      </c>
      <c r="F18" s="4" t="n">
        <f aca="false">COUNTIF('Test Cases'!$G$5:$G$109,"*"&amp;A18&amp;"*")</f>
        <v>1</v>
      </c>
      <c r="G18" s="11"/>
      <c r="H18" s="11"/>
    </row>
    <row r="19" customFormat="false" ht="15" hidden="false" customHeight="false" outlineLevel="0" collapsed="false">
      <c r="A19" s="4" t="s">
        <v>1063</v>
      </c>
      <c r="B19" s="4" t="s">
        <v>977</v>
      </c>
      <c r="C19" s="4" t="s">
        <v>1064</v>
      </c>
      <c r="D19" s="11"/>
      <c r="E19" s="4" t="s">
        <v>557</v>
      </c>
      <c r="F19" s="4" t="n">
        <f aca="false">COUNTIF('Test Cases'!$G$5:$G$109,"*"&amp;A19&amp;"*")</f>
        <v>1</v>
      </c>
      <c r="G19" s="11"/>
      <c r="H19" s="11"/>
    </row>
    <row r="20" customFormat="false" ht="15" hidden="false" customHeight="false" outlineLevel="0" collapsed="false">
      <c r="A20" s="4" t="s">
        <v>1065</v>
      </c>
      <c r="B20" s="4" t="s">
        <v>1000</v>
      </c>
      <c r="C20" s="4" t="s">
        <v>1066</v>
      </c>
      <c r="D20" s="11"/>
      <c r="E20" s="4" t="s">
        <v>1067</v>
      </c>
      <c r="F20" s="4" t="n">
        <f aca="false">COUNTIF('Test Cases'!$G$5:$G$109,"*"&amp;A20&amp;"*")</f>
        <v>4</v>
      </c>
      <c r="G20" s="11"/>
      <c r="H20" s="11"/>
    </row>
    <row r="21" customFormat="false" ht="15" hidden="false" customHeight="false" outlineLevel="0" collapsed="false">
      <c r="A21" s="4" t="s">
        <v>1068</v>
      </c>
      <c r="B21" s="4" t="s">
        <v>989</v>
      </c>
      <c r="C21" s="4" t="s">
        <v>1069</v>
      </c>
      <c r="D21" s="11"/>
      <c r="E21" s="4" t="s">
        <v>628</v>
      </c>
      <c r="F21" s="4" t="n">
        <f aca="false">COUNTIF('Test Cases'!$G$5:$G$109,"*"&amp;A21&amp;"*")</f>
        <v>1</v>
      </c>
      <c r="G21" s="11"/>
      <c r="H21" s="11"/>
    </row>
    <row r="22" customFormat="false" ht="15" hidden="false" customHeight="false" outlineLevel="0" collapsed="false">
      <c r="A22" s="4" t="s">
        <v>1070</v>
      </c>
      <c r="B22" s="4" t="s">
        <v>929</v>
      </c>
      <c r="C22" s="4" t="s">
        <v>931</v>
      </c>
      <c r="D22" s="11"/>
      <c r="E22" s="4" t="s">
        <v>1071</v>
      </c>
      <c r="F22" s="4" t="n">
        <f aca="false">COUNTIF('Test Cases'!$G$5:$G$109,"*"&amp;A22&amp;"*")</f>
        <v>4</v>
      </c>
      <c r="G22" s="11"/>
      <c r="H22" s="11"/>
    </row>
    <row r="23" customFormat="false" ht="15" hidden="false" customHeight="false" outlineLevel="0" collapsed="false">
      <c r="A23" s="4" t="s">
        <v>1072</v>
      </c>
      <c r="B23" s="4" t="s">
        <v>1010</v>
      </c>
      <c r="C23" s="4" t="s">
        <v>1011</v>
      </c>
      <c r="D23" s="11"/>
      <c r="E23" s="4" t="s">
        <v>1073</v>
      </c>
      <c r="F23" s="4" t="n">
        <f aca="false">COUNTIF('Test Cases'!$G$5:$G$109,"*"&amp;A23&amp;"*")</f>
        <v>4</v>
      </c>
      <c r="G23" s="11"/>
      <c r="H23" s="11"/>
    </row>
    <row r="24" customFormat="false" ht="15" hidden="false" customHeight="false" outlineLevel="0" collapsed="false">
      <c r="A24" s="4" t="s">
        <v>1074</v>
      </c>
      <c r="B24" s="4" t="s">
        <v>1010</v>
      </c>
      <c r="C24" s="4" t="s">
        <v>1075</v>
      </c>
      <c r="D24" s="11"/>
      <c r="E24" s="4" t="s">
        <v>842</v>
      </c>
      <c r="F24" s="4" t="n">
        <f aca="false">COUNTIF('Test Cases'!$G$5:$G$109,"*"&amp;A24&amp;"*")</f>
        <v>1</v>
      </c>
      <c r="G24" s="11"/>
      <c r="H24" s="11"/>
    </row>
    <row r="26" customFormat="false" ht="15" hidden="false" customHeight="false" outlineLevel="0" collapsed="false">
      <c r="A26" s="9" t="s">
        <v>1076</v>
      </c>
      <c r="C26" s="7" t="str">
        <f aca="false">IF(COUNTIF(G5:G24,"Detected")+COUNTIF(G5:G24,"Not detected")=0,"n/a",COUNTIF(G5:G24,"Detected")/(COUNTIF(G5:G24,"Detected")+COUNTIF(G5:G24,"Not detected")))</f>
        <v>n/a</v>
      </c>
    </row>
  </sheetData>
  <dataValidations count="1">
    <dataValidation allowBlank="true" errorStyle="stop" operator="between" showDropDown="false" showErrorMessage="false" showInputMessage="false" sqref="G5:G24" type="list">
      <formula1>"Detected,Not detected,Not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1077</v>
      </c>
    </row>
    <row r="2" customFormat="false" ht="15" hidden="false" customHeight="false" outlineLevel="0" collapsed="false">
      <c r="A2" s="2" t="s">
        <v>1078</v>
      </c>
    </row>
    <row r="4" customFormat="false" ht="31.5" hidden="false" customHeight="true" outlineLevel="0" collapsed="false">
      <c r="A4" s="3" t="s">
        <v>1079</v>
      </c>
      <c r="B4" s="3" t="s">
        <v>1080</v>
      </c>
      <c r="C4" s="3" t="s">
        <v>1081</v>
      </c>
      <c r="D4" s="3" t="s">
        <v>1082</v>
      </c>
      <c r="E4" s="3" t="s">
        <v>1083</v>
      </c>
      <c r="F4" s="3" t="s">
        <v>1084</v>
      </c>
      <c r="G4" s="3" t="s">
        <v>1085</v>
      </c>
      <c r="H4" s="3" t="s">
        <v>1086</v>
      </c>
      <c r="I4" s="3" t="s">
        <v>1087</v>
      </c>
      <c r="J4" s="3" t="s">
        <v>1088</v>
      </c>
    </row>
    <row r="5" customFormat="false" ht="23.85" hidden="false" customHeight="false" outlineLevel="0" collapsed="false">
      <c r="A5" s="4" t="s">
        <v>1089</v>
      </c>
      <c r="B5" s="4" t="s">
        <v>1090</v>
      </c>
      <c r="C5" s="4" t="s">
        <v>1091</v>
      </c>
      <c r="D5" s="4" t="n">
        <v>5</v>
      </c>
      <c r="E5" s="4"/>
      <c r="F5" s="4" t="n">
        <f aca="false">IF(E5="",0,LEN(E5)-LEN(SUBSTITUTE(E5,"TC-","")))/3</f>
        <v>0</v>
      </c>
      <c r="G5" s="11" t="s">
        <v>1092</v>
      </c>
      <c r="H5" s="11"/>
      <c r="I5" s="11"/>
      <c r="J5" s="11"/>
    </row>
    <row r="6" customFormat="false" ht="35.05" hidden="false" customHeight="false" outlineLevel="0" collapsed="false">
      <c r="A6" s="4" t="s">
        <v>1093</v>
      </c>
      <c r="B6" s="4" t="s">
        <v>1094</v>
      </c>
      <c r="C6" s="4" t="s">
        <v>1095</v>
      </c>
      <c r="D6" s="4" t="n">
        <v>10</v>
      </c>
      <c r="E6" s="4"/>
      <c r="F6" s="4" t="n">
        <f aca="false">IF(E6="",0,LEN(E6)-LEN(SUBSTITUTE(E6,"TC-","")))/3</f>
        <v>0</v>
      </c>
      <c r="G6" s="11" t="s">
        <v>1092</v>
      </c>
      <c r="H6" s="11"/>
      <c r="I6" s="11"/>
      <c r="J6" s="11"/>
    </row>
    <row r="7" customFormat="false" ht="23.85" hidden="false" customHeight="false" outlineLevel="0" collapsed="false">
      <c r="A7" s="4" t="s">
        <v>794</v>
      </c>
      <c r="B7" s="4" t="s">
        <v>1096</v>
      </c>
      <c r="C7" s="4" t="s">
        <v>1097</v>
      </c>
      <c r="D7" s="4" t="n">
        <v>5</v>
      </c>
      <c r="E7" s="4" t="s">
        <v>1022</v>
      </c>
      <c r="F7" s="4" t="n">
        <f aca="false">IF(E7="",0,LEN(E7)-LEN(SUBSTITUTE(E7,"TC-","")))/3</f>
        <v>10</v>
      </c>
      <c r="G7" s="11" t="s">
        <v>1092</v>
      </c>
      <c r="H7" s="11"/>
      <c r="I7" s="11"/>
      <c r="J7" s="11"/>
    </row>
    <row r="8" customFormat="false" ht="23.85" hidden="false" customHeight="false" outlineLevel="0" collapsed="false">
      <c r="A8" s="4" t="s">
        <v>208</v>
      </c>
      <c r="B8" s="4" t="s">
        <v>1098</v>
      </c>
      <c r="C8" s="4" t="s">
        <v>1099</v>
      </c>
      <c r="D8" s="4" t="n">
        <v>10</v>
      </c>
      <c r="E8" s="4" t="s">
        <v>1100</v>
      </c>
      <c r="F8" s="4" t="n">
        <f aca="false">IF(E8="",0,LEN(E8)-LEN(SUBSTITUTE(E8,"TC-","")))/3</f>
        <v>4</v>
      </c>
      <c r="G8" s="11" t="s">
        <v>1092</v>
      </c>
      <c r="H8" s="11"/>
      <c r="I8" s="11"/>
      <c r="J8" s="11"/>
    </row>
    <row r="9" customFormat="false" ht="23.85" hidden="false" customHeight="false" outlineLevel="0" collapsed="false">
      <c r="A9" s="4" t="s">
        <v>166</v>
      </c>
      <c r="B9" s="4" t="s">
        <v>1101</v>
      </c>
      <c r="C9" s="4" t="s">
        <v>1102</v>
      </c>
      <c r="D9" s="4" t="n">
        <v>5</v>
      </c>
      <c r="E9" s="4" t="s">
        <v>159</v>
      </c>
      <c r="F9" s="4" t="n">
        <f aca="false">IF(E9="",0,LEN(E9)-LEN(SUBSTITUTE(E9,"TC-","")))/3</f>
        <v>1</v>
      </c>
      <c r="G9" s="11" t="s">
        <v>1092</v>
      </c>
      <c r="H9" s="11"/>
      <c r="I9" s="11"/>
      <c r="J9" s="11"/>
    </row>
    <row r="10" customFormat="false" ht="15" hidden="false" customHeight="false" outlineLevel="0" collapsed="false">
      <c r="A10" s="4" t="s">
        <v>182</v>
      </c>
      <c r="B10" s="4" t="s">
        <v>1103</v>
      </c>
      <c r="C10" s="4" t="s">
        <v>1104</v>
      </c>
      <c r="D10" s="4" t="n">
        <v>5</v>
      </c>
      <c r="E10" s="4" t="s">
        <v>1105</v>
      </c>
      <c r="F10" s="4" t="n">
        <f aca="false">IF(E10="",0,LEN(E10)-LEN(SUBSTITUTE(E10,"TC-","")))/3</f>
        <v>3</v>
      </c>
      <c r="G10" s="11" t="s">
        <v>1092</v>
      </c>
      <c r="H10" s="11"/>
      <c r="I10" s="11"/>
      <c r="J10" s="11"/>
    </row>
    <row r="11" customFormat="false" ht="23.85" hidden="false" customHeight="false" outlineLevel="0" collapsed="false">
      <c r="A11" s="4" t="s">
        <v>1106</v>
      </c>
      <c r="B11" s="4" t="s">
        <v>1107</v>
      </c>
      <c r="C11" s="4" t="s">
        <v>1108</v>
      </c>
      <c r="D11" s="4" t="n">
        <v>5</v>
      </c>
      <c r="E11" s="4" t="s">
        <v>138</v>
      </c>
      <c r="F11" s="4" t="n">
        <f aca="false">IF(E11="",0,LEN(E11)-LEN(SUBSTITUTE(E11,"TC-","")))/3</f>
        <v>1</v>
      </c>
      <c r="G11" s="11" t="s">
        <v>1092</v>
      </c>
      <c r="H11" s="11"/>
      <c r="I11" s="11"/>
      <c r="J11" s="11"/>
    </row>
    <row r="12" customFormat="false" ht="15" hidden="false" customHeight="false" outlineLevel="0" collapsed="false">
      <c r="A12" s="4" t="s">
        <v>1109</v>
      </c>
      <c r="B12" s="4" t="s">
        <v>1110</v>
      </c>
      <c r="C12" s="4" t="s">
        <v>1111</v>
      </c>
      <c r="D12" s="4" t="n">
        <v>3</v>
      </c>
      <c r="E12" s="4"/>
      <c r="F12" s="4" t="n">
        <f aca="false">IF(E12="",0,LEN(E12)-LEN(SUBSTITUTE(E12,"TC-","")))/3</f>
        <v>0</v>
      </c>
      <c r="G12" s="11" t="s">
        <v>1092</v>
      </c>
      <c r="H12" s="11"/>
      <c r="I12" s="11"/>
      <c r="J12" s="11"/>
    </row>
    <row r="13" customFormat="false" ht="23.85" hidden="false" customHeight="false" outlineLevel="0" collapsed="false">
      <c r="A13" s="4" t="s">
        <v>1112</v>
      </c>
      <c r="B13" s="4" t="s">
        <v>1113</v>
      </c>
      <c r="C13" s="4" t="s">
        <v>1114</v>
      </c>
      <c r="D13" s="4" t="n">
        <v>5</v>
      </c>
      <c r="E13" s="4"/>
      <c r="F13" s="4" t="n">
        <f aca="false">IF(E13="",0,LEN(E13)-LEN(SUBSTITUTE(E13,"TC-","")))/3</f>
        <v>0</v>
      </c>
      <c r="G13" s="11" t="s">
        <v>1092</v>
      </c>
      <c r="H13" s="11"/>
      <c r="I13" s="11"/>
      <c r="J13" s="11"/>
    </row>
    <row r="14" customFormat="false" ht="35.05" hidden="false" customHeight="false" outlineLevel="0" collapsed="false">
      <c r="A14" s="4" t="s">
        <v>386</v>
      </c>
      <c r="B14" s="4" t="s">
        <v>1115</v>
      </c>
      <c r="C14" s="4" t="s">
        <v>1116</v>
      </c>
      <c r="D14" s="4" t="n">
        <v>10</v>
      </c>
      <c r="E14" s="4" t="s">
        <v>1117</v>
      </c>
      <c r="F14" s="4" t="n">
        <f aca="false">IF(E14="",0,LEN(E14)-LEN(SUBSTITUTE(E14,"TC-","")))/3</f>
        <v>4</v>
      </c>
      <c r="G14" s="11" t="s">
        <v>1092</v>
      </c>
      <c r="H14" s="11"/>
      <c r="I14" s="11"/>
      <c r="J14" s="11"/>
    </row>
    <row r="15" customFormat="false" ht="15" hidden="false" customHeight="false" outlineLevel="0" collapsed="false">
      <c r="A15" s="4" t="s">
        <v>1118</v>
      </c>
      <c r="B15" s="4" t="s">
        <v>1119</v>
      </c>
      <c r="C15" s="4" t="s">
        <v>1120</v>
      </c>
      <c r="D15" s="4" t="n">
        <v>3</v>
      </c>
      <c r="E15" s="4"/>
      <c r="F15" s="4" t="n">
        <f aca="false">IF(E15="",0,LEN(E15)-LEN(SUBSTITUTE(E15,"TC-","")))/3</f>
        <v>0</v>
      </c>
      <c r="G15" s="11" t="s">
        <v>1092</v>
      </c>
      <c r="H15" s="11"/>
      <c r="I15" s="11"/>
      <c r="J15" s="11"/>
    </row>
    <row r="16" customFormat="false" ht="23.85" hidden="false" customHeight="false" outlineLevel="0" collapsed="false">
      <c r="A16" s="4" t="s">
        <v>475</v>
      </c>
      <c r="B16" s="4" t="s">
        <v>1121</v>
      </c>
      <c r="C16" s="4" t="s">
        <v>1122</v>
      </c>
      <c r="D16" s="4" t="n">
        <v>5</v>
      </c>
      <c r="E16" s="4" t="s">
        <v>1123</v>
      </c>
      <c r="F16" s="4" t="n">
        <f aca="false">IF(E16="",0,LEN(E16)-LEN(SUBSTITUTE(E16,"TC-","")))/3</f>
        <v>3</v>
      </c>
      <c r="G16" s="11" t="s">
        <v>1092</v>
      </c>
      <c r="H16" s="11"/>
      <c r="I16" s="11"/>
      <c r="J16" s="11"/>
    </row>
    <row r="17" customFormat="false" ht="15" hidden="false" customHeight="false" outlineLevel="0" collapsed="false">
      <c r="A17" s="4" t="s">
        <v>602</v>
      </c>
      <c r="B17" s="4" t="s">
        <v>1124</v>
      </c>
      <c r="C17" s="4" t="s">
        <v>1125</v>
      </c>
      <c r="D17" s="4" t="n">
        <v>3</v>
      </c>
      <c r="E17" s="4" t="s">
        <v>595</v>
      </c>
      <c r="F17" s="4" t="n">
        <f aca="false">IF(E17="",0,LEN(E17)-LEN(SUBSTITUTE(E17,"TC-","")))/3</f>
        <v>1</v>
      </c>
      <c r="G17" s="11" t="s">
        <v>1092</v>
      </c>
      <c r="H17" s="11"/>
      <c r="I17" s="11"/>
      <c r="J17" s="11"/>
    </row>
    <row r="18" customFormat="false" ht="23.85" hidden="false" customHeight="false" outlineLevel="0" collapsed="false">
      <c r="A18" s="4" t="s">
        <v>723</v>
      </c>
      <c r="B18" s="4" t="s">
        <v>1126</v>
      </c>
      <c r="C18" s="4" t="s">
        <v>1127</v>
      </c>
      <c r="D18" s="4" t="n">
        <v>5</v>
      </c>
      <c r="E18" s="4" t="s">
        <v>1128</v>
      </c>
      <c r="F18" s="4" t="n">
        <f aca="false">IF(E18="",0,LEN(E18)-LEN(SUBSTITUTE(E18,"TC-","")))/3</f>
        <v>3</v>
      </c>
      <c r="G18" s="11" t="s">
        <v>1092</v>
      </c>
      <c r="H18" s="11"/>
      <c r="I18" s="11"/>
      <c r="J18" s="11"/>
    </row>
    <row r="19" customFormat="false" ht="23.85" hidden="false" customHeight="false" outlineLevel="0" collapsed="false">
      <c r="A19" s="4" t="s">
        <v>1129</v>
      </c>
      <c r="B19" s="4" t="s">
        <v>1130</v>
      </c>
      <c r="C19" s="4" t="s">
        <v>1131</v>
      </c>
      <c r="D19" s="4" t="n">
        <v>20</v>
      </c>
      <c r="E19" s="4"/>
      <c r="F19" s="4" t="n">
        <f aca="false">IF(E19="",0,LEN(E19)-LEN(SUBSTITUTE(E19,"TC-","")))/3</f>
        <v>0</v>
      </c>
      <c r="G19" s="11" t="s">
        <v>1092</v>
      </c>
      <c r="H19" s="11"/>
      <c r="I19" s="11"/>
      <c r="J19" s="11"/>
    </row>
    <row r="21" customFormat="false" ht="15" hidden="false" customHeight="false" outlineLevel="0" collapsed="false">
      <c r="A21" s="9" t="s">
        <v>1132</v>
      </c>
      <c r="D21" s="8" t="n">
        <f aca="false">SUM(D5:D19)</f>
        <v>99</v>
      </c>
    </row>
    <row r="22" customFormat="false" ht="15" hidden="false" customHeight="false" outlineLevel="0" collapsed="false">
      <c r="A22" s="9" t="s">
        <v>1133</v>
      </c>
      <c r="D22" s="8" t="str">
        <f aca="false">COUNTIF(G5:G19,"Done")&amp;" of "&amp;COUNTA(A5:A19)</f>
        <v>0 of 15</v>
      </c>
    </row>
    <row r="24" customFormat="false" ht="15" hidden="false" customHeight="false" outlineLevel="0" collapsed="false">
      <c r="A24" s="10" t="s">
        <v>1134</v>
      </c>
    </row>
  </sheetData>
  <dataValidations count="1">
    <dataValidation allowBlank="false" errorStyle="stop" operator="between" showDropDown="false" showErrorMessage="false" showInputMessage="false" sqref="G5:G19" type="list">
      <formula1>"Not started,In progress,Done,Not possible"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40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1135</v>
      </c>
    </row>
    <row r="3" customFormat="false" ht="31.5" hidden="false" customHeight="true" outlineLevel="0" collapsed="false">
      <c r="A3" s="3" t="s">
        <v>1136</v>
      </c>
      <c r="B3" s="3" t="s">
        <v>1137</v>
      </c>
      <c r="C3" s="3" t="s">
        <v>1138</v>
      </c>
      <c r="D3" s="3" t="s">
        <v>905</v>
      </c>
      <c r="E3" s="3" t="s">
        <v>1139</v>
      </c>
    </row>
    <row r="4" customFormat="false" ht="23.85" hidden="false" customHeight="false" outlineLevel="0" collapsed="false">
      <c r="A4" s="4" t="n">
        <v>1</v>
      </c>
      <c r="B4" s="4" t="s">
        <v>1140</v>
      </c>
      <c r="C4" s="4" t="s">
        <v>1141</v>
      </c>
      <c r="D4" s="4" t="s">
        <v>1142</v>
      </c>
      <c r="E4" s="4" t="s">
        <v>1143</v>
      </c>
    </row>
    <row r="5" customFormat="false" ht="23.85" hidden="false" customHeight="false" outlineLevel="0" collapsed="false">
      <c r="A5" s="4" t="n">
        <v>2</v>
      </c>
      <c r="B5" s="4" t="s">
        <v>1144</v>
      </c>
      <c r="C5" s="4" t="s">
        <v>1145</v>
      </c>
      <c r="D5" s="4" t="s">
        <v>1146</v>
      </c>
      <c r="E5" s="4" t="s">
        <v>1147</v>
      </c>
    </row>
    <row r="6" customFormat="false" ht="23.85" hidden="false" customHeight="false" outlineLevel="0" collapsed="false">
      <c r="A6" s="4" t="n">
        <v>3</v>
      </c>
      <c r="B6" s="4" t="s">
        <v>788</v>
      </c>
      <c r="C6" s="4" t="s">
        <v>1148</v>
      </c>
      <c r="D6" s="4" t="s">
        <v>1149</v>
      </c>
      <c r="E6" s="4" t="s">
        <v>1150</v>
      </c>
    </row>
    <row r="7" customFormat="false" ht="23.85" hidden="false" customHeight="false" outlineLevel="0" collapsed="false">
      <c r="A7" s="4" t="n">
        <v>4</v>
      </c>
      <c r="B7" s="4" t="s">
        <v>1151</v>
      </c>
      <c r="C7" s="4" t="s">
        <v>1152</v>
      </c>
      <c r="D7" s="4" t="s">
        <v>1153</v>
      </c>
      <c r="E7" s="4" t="s">
        <v>1154</v>
      </c>
    </row>
    <row r="8" customFormat="false" ht="23.85" hidden="false" customHeight="false" outlineLevel="0" collapsed="false">
      <c r="A8" s="4" t="n">
        <v>5</v>
      </c>
      <c r="B8" s="4" t="s">
        <v>1155</v>
      </c>
      <c r="C8" s="4" t="s">
        <v>1156</v>
      </c>
      <c r="D8" s="4" t="s">
        <v>1157</v>
      </c>
      <c r="E8" s="4" t="s">
        <v>1158</v>
      </c>
    </row>
    <row r="9" customFormat="false" ht="23.85" hidden="false" customHeight="false" outlineLevel="0" collapsed="false">
      <c r="A9" s="4" t="n">
        <v>6</v>
      </c>
      <c r="B9" s="4" t="s">
        <v>1159</v>
      </c>
      <c r="C9" s="4" t="s">
        <v>1160</v>
      </c>
      <c r="D9" s="4" t="s">
        <v>1161</v>
      </c>
      <c r="E9" s="4" t="s">
        <v>1162</v>
      </c>
    </row>
    <row r="10" customFormat="false" ht="23.85" hidden="false" customHeight="false" outlineLevel="0" collapsed="false">
      <c r="A10" s="4" t="n">
        <v>7</v>
      </c>
      <c r="B10" s="4" t="s">
        <v>1163</v>
      </c>
      <c r="C10" s="4" t="s">
        <v>1164</v>
      </c>
      <c r="D10" s="4" t="s">
        <v>1165</v>
      </c>
      <c r="E10" s="4" t="s">
        <v>1166</v>
      </c>
    </row>
    <row r="11" customFormat="false" ht="23.85" hidden="false" customHeight="false" outlineLevel="0" collapsed="false">
      <c r="A11" s="4" t="n">
        <v>8</v>
      </c>
      <c r="B11" s="4" t="s">
        <v>1167</v>
      </c>
      <c r="C11" s="4" t="s">
        <v>1168</v>
      </c>
      <c r="D11" s="4" t="s">
        <v>1169</v>
      </c>
      <c r="E11" s="4" t="s">
        <v>1170</v>
      </c>
    </row>
    <row r="12" customFormat="false" ht="23.85" hidden="false" customHeight="false" outlineLevel="0" collapsed="false">
      <c r="A12" s="4" t="n">
        <v>9</v>
      </c>
      <c r="B12" s="4" t="s">
        <v>1171</v>
      </c>
      <c r="C12" s="4" t="s">
        <v>1172</v>
      </c>
      <c r="D12" s="4" t="s">
        <v>1173</v>
      </c>
      <c r="E12" s="4" t="s">
        <v>1174</v>
      </c>
    </row>
    <row r="13" customFormat="false" ht="15" hidden="false" customHeight="false" outlineLevel="0" collapsed="false">
      <c r="A13" s="4" t="n">
        <v>10</v>
      </c>
      <c r="B13" s="4" t="s">
        <v>1175</v>
      </c>
      <c r="C13" s="4" t="s">
        <v>1176</v>
      </c>
      <c r="D13" s="4" t="s">
        <v>1177</v>
      </c>
      <c r="E13" s="4" t="s">
        <v>1178</v>
      </c>
    </row>
    <row r="14" customFormat="false" ht="15" hidden="false" customHeight="false" outlineLevel="0" collapsed="false">
      <c r="A14" s="4" t="n">
        <v>11</v>
      </c>
      <c r="B14" s="4" t="s">
        <v>1179</v>
      </c>
      <c r="C14" s="4" t="s">
        <v>1180</v>
      </c>
      <c r="D14" s="4" t="s">
        <v>1181</v>
      </c>
      <c r="E14" s="4" t="s">
        <v>1182</v>
      </c>
    </row>
    <row r="15" customFormat="false" ht="23.85" hidden="false" customHeight="false" outlineLevel="0" collapsed="false">
      <c r="A15" s="4" t="n">
        <v>12</v>
      </c>
      <c r="B15" s="4" t="s">
        <v>1183</v>
      </c>
      <c r="C15" s="4" t="s">
        <v>1184</v>
      </c>
      <c r="D15" s="4" t="s">
        <v>1185</v>
      </c>
      <c r="E15" s="4" t="s">
        <v>1186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2026-10-14T14:58:29Z</dcterms:created>
  <dc:creator>openpyxl</dc:creator>
  <dc:description/>
  <dc:language>en-US</dc:language>
  <cp:lastModifiedBy/>
  <dcterms:modified xsi:type="dcterms:W3CDTF">2026-10-14T14:58:29Z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