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est Cases" sheetId="2" state="visible" r:id="rId4"/>
    <sheet name="Release Gate" sheetId="3" state="visible" r:id="rId5"/>
    <sheet name="Traceability - Risks" sheetId="4" state="visible" r:id="rId6"/>
    <sheet name="Traceability - Defects" sheetId="5" state="visible" r:id="rId7"/>
    <sheet name="Run Results" sheetId="6" state="visible" r:id="rId8"/>
    <sheet name="Defect Log" sheetId="7" state="visible" r:id="rId9"/>
    <sheet name="Exploration Log" sheetId="8" state="visible" r:id="rId10"/>
    <sheet name="Limitations" sheetId="9" state="visible" r:id="rId11"/>
  </sheets>
  <definedNames>
    <definedName function="false" hidden="true" localSheetId="6" name="_xlnm._FilterDatabase" vbProcedure="false">'Defect Log'!$A$4:$N$19</definedName>
    <definedName function="false" hidden="true" localSheetId="1" name="_xlnm._FilterDatabase" vbProcedure="false">'Test Cases'!$A$4:$AE$110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<sst xmlns="http://schemas.openxmlformats.org/spreadsheetml/2006/main" count="3878" uniqueCount="1387">
  <si>
    <t xml:space="preserve">Summary</t>
  </si>
  <si>
    <t xml:space="preserve">All figures are formulas over the Test Cases sheet.</t>
  </si>
  <si>
    <t xml:space="preserve">Module</t>
  </si>
  <si>
    <t xml:space="preserve">Total</t>
  </si>
  <si>
    <t xml:space="preserve">P1 (release gate)</t>
  </si>
  <si>
    <t xml:space="preserve">P2</t>
  </si>
  <si>
    <t xml:space="preserve">P3</t>
  </si>
  <si>
    <t xml:space="preserve">Smoke</t>
  </si>
  <si>
    <t xml:space="preserve">Seeded-defect checks</t>
  </si>
  <si>
    <t xml:space="preserve">Automated</t>
  </si>
  <si>
    <t xml:space="preserve">Blocked</t>
  </si>
  <si>
    <t xml:space="preserve">Sensitive</t>
  </si>
  <si>
    <t xml:space="preserve">Authentication &amp; Session</t>
  </si>
  <si>
    <t xml:space="preserve">Agent Dashboard</t>
  </si>
  <si>
    <t xml:space="preserve">Client / Insured Information</t>
  </si>
  <si>
    <t xml:space="preserve">Product Selection &amp; Policy Configuration</t>
  </si>
  <si>
    <t xml:space="preserve">Rider Selection</t>
  </si>
  <si>
    <t xml:space="preserve">Beneficiary Management</t>
  </si>
  <si>
    <t xml:space="preserve">Document Upload</t>
  </si>
  <si>
    <t xml:space="preserve">Validation Summary</t>
  </si>
  <si>
    <t xml:space="preserve">Submission &amp; Status Tracking</t>
  </si>
  <si>
    <t xml:space="preserve">API Validation</t>
  </si>
  <si>
    <t xml:space="preserve">Database Validation</t>
  </si>
  <si>
    <t xml:space="preserve">Framework Self-Checks</t>
  </si>
  <si>
    <t xml:space="preserve">P1 share of all cases (Submission 1: 50%)</t>
  </si>
  <si>
    <t xml:space="preserve">Release gate within 15-20?</t>
  </si>
  <si>
    <t xml:space="preserve">Automation coverage (automated / total)</t>
  </si>
  <si>
    <t xml:space="preserve">Risks covered</t>
  </si>
  <si>
    <t xml:space="preserve">Reported issues covered</t>
  </si>
  <si>
    <t xml:space="preserve">Notes</t>
  </si>
  <si>
    <t xml:space="preserve">Automated = a Playwright test exists for the case. Blocked = cannot be automated yet (database access, Q04).</t>
  </si>
  <si>
    <t xml:space="preserve">Three live runs exist (Run Results sheet): v1 passed 5/15 smoke and 10/96 overall; after the first round of fixes the smoke run passed 7/15. The latest fixes (product choice, API base URL, session timeout) have NOT yet been re-run on the lab.</t>
  </si>
  <si>
    <t xml:space="preserve">Test Case Design Sheet - Insurance Order Entry Platform (Submission 2)</t>
  </si>
  <si>
    <t xml:space="preserve">Generated from test-design/testCases.js. Edit the .js file (single source of truth) and re-run: npm run export:testdesign &amp;&amp; python scripts/build_test_sheet.py</t>
  </si>
  <si>
    <t xml:space="preserve">Test Case ID</t>
  </si>
  <si>
    <t xml:space="preserve">Title</t>
  </si>
  <si>
    <t xml:space="preserve">Scenario ID</t>
  </si>
  <si>
    <t xml:space="preserve">Source</t>
  </si>
  <si>
    <t xml:space="preserve">Requirement / Risk Link (Submission 1 risk IDs)</t>
  </si>
  <si>
    <t xml:space="preserve">Seeded Defect Theme (reported issue)</t>
  </si>
  <si>
    <t xml:space="preserve">Seeded Defect Candidate / Catalog Code</t>
  </si>
  <si>
    <t xml:space="preserve">Test Type</t>
  </si>
  <si>
    <t xml:space="preserve">Layer</t>
  </si>
  <si>
    <t xml:space="preserve">Preconditions</t>
  </si>
  <si>
    <t xml:space="preserve">Test Steps</t>
  </si>
  <si>
    <t xml:space="preserve">Test Data</t>
  </si>
  <si>
    <t xml:space="preserve">Expected Result</t>
  </si>
  <si>
    <t xml:space="preserve">Severity</t>
  </si>
  <si>
    <t xml:space="preserve">Priority (P1 = release gate)</t>
  </si>
  <si>
    <t xml:space="preserve">Submission 1 Priority</t>
  </si>
  <si>
    <t xml:space="preserve">Release Gate</t>
  </si>
  <si>
    <t xml:space="preserve">Sensitive Data (no trace/video)</t>
  </si>
  <si>
    <t xml:space="preserve">Evidence Required</t>
  </si>
  <si>
    <t xml:space="preserve">Automation Status</t>
  </si>
  <si>
    <t xml:space="preserve">Automated In</t>
  </si>
  <si>
    <t xml:space="preserve">Run Conditions / TBC</t>
  </si>
  <si>
    <t xml:space="preserve">Open Questions</t>
  </si>
  <si>
    <t xml:space="preserve">Blocked Reason</t>
  </si>
  <si>
    <t xml:space="preserve">Tags</t>
  </si>
  <si>
    <t xml:space="preserve">Live run 1 - smoke 26-Oct 11:38 (old code)</t>
  </si>
  <si>
    <t xml:space="preserve">Live run 2 - full 26-Oct 11:51 (old code)</t>
  </si>
  <si>
    <t xml:space="preserve">Live run 3 - smoke after fixes</t>
  </si>
  <si>
    <t xml:space="preserve">Defect Log IDs</t>
  </si>
  <si>
    <t xml:space="preserve">TC-AUTH-V01</t>
  </si>
  <si>
    <t xml:space="preserve">Valid agent logs in and lands on their draft application (BR-AUTH-010)</t>
  </si>
  <si>
    <t xml:space="preserve">AUTH-V01</t>
  </si>
  <si>
    <t xml:space="preserve">S1</t>
  </si>
  <si>
    <t xml:space="preserve">R01</t>
  </si>
  <si>
    <t xml:space="preserve">RI-01: Valid agents cannot log in after authentication changes</t>
  </si>
  <si>
    <t xml:space="preserve">SDC-01</t>
  </si>
  <si>
    <t xml:space="preserve">UI Positive</t>
  </si>
  <si>
    <t xml:space="preserve">UI</t>
  </si>
  <si>
    <t xml:space="preserve">Seeded valid agent exists and is active; browser has no session</t>
  </si>
  <si>
    <t xml:space="preserve">1. Open /login
2. Enter valid agent email and password
3. Click Log in</t>
  </si>
  <si>
    <t xml:space="preserve">AGENT_VALID_EMAIL / AGENT_VALID_PASSWORD</t>
  </si>
  <si>
    <t xml:space="preserve">Browser leaves /login and lands on the draft application Client Information page (/applications/:id/client); the logout control is visible</t>
  </si>
  <si>
    <t xml:space="preserve">Critical</t>
  </si>
  <si>
    <t xml:space="preserve">P1</t>
  </si>
  <si>
    <t xml:space="preserve">Y</t>
  </si>
  <si>
    <t xml:space="preserve">N</t>
  </si>
  <si>
    <t xml:space="preserve">Screenshot attached on pass AND fail; trace/video on failure; diagnostics.json (console + 5xx)</t>
  </si>
  <si>
    <t xml:space="preserve">tests/ui/auth.spec.js</t>
  </si>
  <si>
    <t xml:space="preserve">@regression @authentication @p1 @smoke @release-gate @seeded</t>
  </si>
  <si>
    <t xml:space="preserve">Passed</t>
  </si>
  <si>
    <t xml:space="preserve">TC-AUTH-V02</t>
  </si>
  <si>
    <t xml:space="preserve">Invalid password shows correct error message</t>
  </si>
  <si>
    <t xml:space="preserve">AUTH-V02</t>
  </si>
  <si>
    <t xml:space="preserve">R02</t>
  </si>
  <si>
    <t xml:space="preserve">RI-02: Locked or invalid agents get incorrect / misleading messages</t>
  </si>
  <si>
    <t xml:space="preserve">SDC-02</t>
  </si>
  <si>
    <t xml:space="preserve">UI Negative</t>
  </si>
  <si>
    <t xml:space="preserve">Seeded valid agent exists; browser has no session</t>
  </si>
  <si>
    <t xml:space="preserve">1. Open /login
2. Enter valid email with a WRONG password
3. Click Log in</t>
  </si>
  <si>
    <t xml:space="preserve">AGENT_VALID_EMAIL + AGENT_INVALID_PASSWORD</t>
  </si>
  <si>
    <t xml:space="preserve">Stays on /login; an invalid-credentials message is shown (config/messages.js invalidCredentials); dashboard is not reachable</t>
  </si>
  <si>
    <t xml:space="preserve">High</t>
  </si>
  <si>
    <t xml:space="preserve">@regression @authentication @p2 @seeded</t>
  </si>
  <si>
    <t xml:space="preserve">Not in smoke scope</t>
  </si>
  <si>
    <t xml:space="preserve">AD-07</t>
  </si>
  <si>
    <t xml:space="preserve">TC-AUTH-V03</t>
  </si>
  <si>
    <t xml:space="preserve">Blank username/password show mandatory field errors</t>
  </si>
  <si>
    <t xml:space="preserve">AUTH-V03</t>
  </si>
  <si>
    <t xml:space="preserve">Browser has no session</t>
  </si>
  <si>
    <t xml:space="preserve">1. Open /login
2. Leave email and password empty
3. Click Log in</t>
  </si>
  <si>
    <t xml:space="preserve">none</t>
  </si>
  <si>
    <t xml:space="preserve">Stays on /login; each empty field is flagged as required (inline message or browser validity state)</t>
  </si>
  <si>
    <t xml:space="preserve">Medium</t>
  </si>
  <si>
    <t xml:space="preserve">Screenshot + trace on failure</t>
  </si>
  <si>
    <t xml:space="preserve">@regression @authentication @p2</t>
  </si>
  <si>
    <t xml:space="preserve">TC-AUTH-V04</t>
  </si>
  <si>
    <t xml:space="preserve">Logout clears session; protected route redirects to login</t>
  </si>
  <si>
    <t xml:space="preserve">AUTH-V04</t>
  </si>
  <si>
    <t xml:space="preserve">R05</t>
  </si>
  <si>
    <t xml:space="preserve">Valid agent (AGENT_VALID) signed in via saved session; environment reachable</t>
  </si>
  <si>
    <t xml:space="preserve">1. Open the dashboard
2. Click Log out
3. Navigate directly to /dashboard</t>
  </si>
  <si>
    <t xml:space="preserve">Generated synthetic data (utils/dataBuilder.js)</t>
  </si>
  <si>
    <t xml:space="preserve">After logout the login page is shown; navigating to /dashboard redirects back to /login (no stale session)</t>
  </si>
  <si>
    <t xml:space="preserve">@regression @authentication @p2 @smoke</t>
  </si>
  <si>
    <t xml:space="preserve">Not passed - investigate</t>
  </si>
  <si>
    <t xml:space="preserve">TC-AUTH-V05</t>
  </si>
  <si>
    <t xml:space="preserve">Direct /dashboard access without login is blocked</t>
  </si>
  <si>
    <t xml:space="preserve">AUTH-V05</t>
  </si>
  <si>
    <t xml:space="preserve">R04</t>
  </si>
  <si>
    <t xml:space="preserve">UI Security</t>
  </si>
  <si>
    <t xml:space="preserve">Fresh browser context with no cookies or storage</t>
  </si>
  <si>
    <t xml:space="preserve">1. Navigate directly to /dashboard without logging in</t>
  </si>
  <si>
    <t xml:space="preserve">Redirected to /login; no dashboard content is rendered</t>
  </si>
  <si>
    <t xml:space="preserve">@regression @authentication @p1 @smoke @release-gate</t>
  </si>
  <si>
    <t xml:space="preserve">TC-AUTH-V06</t>
  </si>
  <si>
    <t xml:space="preserve">Locked user cannot access dashboard; lock message shown</t>
  </si>
  <si>
    <t xml:space="preserve">AUTH-V06</t>
  </si>
  <si>
    <t xml:space="preserve">Seeded locked agent (AGENT_LOCKED) exists</t>
  </si>
  <si>
    <t xml:space="preserve">1. Open /login
2. Enter locked agent credentials
3. Click Log in
4. Navigate to /dashboard</t>
  </si>
  <si>
    <t xml:space="preserve">AGENT_LOCKED_EMAIL / AGENT_LOCKED_PASSWORD</t>
  </si>
  <si>
    <t xml:space="preserve">Stays on /login with an account-locked message (not a generic "invalid password"); /dashboard redirects to login</t>
  </si>
  <si>
    <t xml:space="preserve">@regression @authentication @p1 @release-gate @seeded</t>
  </si>
  <si>
    <t xml:space="preserve">Failed or skipped (not itemised)</t>
  </si>
  <si>
    <t xml:space="preserve">TC-AUTH-V07</t>
  </si>
  <si>
    <t xml:space="preserve">Account locks after five failed attempts</t>
  </si>
  <si>
    <t xml:space="preserve">AUTH-V07</t>
  </si>
  <si>
    <t xml:space="preserve">R03</t>
  </si>
  <si>
    <t xml:space="preserve">UI Boundary</t>
  </si>
  <si>
    <t xml:space="preserve">UI + API</t>
  </si>
  <si>
    <t xml:space="preserve">DISPOSABLE agent (AGENT_LOCKOUT) that may be left locked; lock rule per assumption A06/Q07</t>
  </si>
  <si>
    <t xml:space="preserve">1. Attempt login with a wrong password 4 times
2. Confirm the message is still "invalid credentials"
3. Attempt a 5th wrong login (either message is acceptable - Q07)
4. Attempt login with the CORRECT password</t>
  </si>
  <si>
    <t xml:space="preserve">AGENT_LOCKOUT_EMAIL; LOCKOUT_ATTEMPTS (default 5)</t>
  </si>
  <si>
    <t xml:space="preserve">Attempts 1-4 show invalid-credentials; after the 5th failure the CORRECT password is refused with the account-locked message</t>
  </si>
  <si>
    <t xml:space="preserve">Set AGENT_LOCKOUT_EMAIL (destructive: locks the account)</t>
  </si>
  <si>
    <t xml:space="preserve">@regression @authentication @p2 @seeded @api</t>
  </si>
  <si>
    <t xml:space="preserve">TC-AUTH-V08</t>
  </si>
  <si>
    <t xml:space="preserve">Password policy rejects weak password (reset/change)</t>
  </si>
  <si>
    <t xml:space="preserve">AUTH-V08</t>
  </si>
  <si>
    <t xml:space="preserve">R06</t>
  </si>
  <si>
    <t xml:space="preserve">RI-03: Password policy not consistently enforced</t>
  </si>
  <si>
    <t xml:space="preserve">DISPOSABLE reset agent (AGENT_RESET); simulated OTP known (OTP_CODE)</t>
  </si>
  <si>
    <t xml:space="preserve">1. Open /forgot-password and request a reset for the reset agent
2. Enter the OTP
3. For each weak password (short, no digit, no uppercase, common word) set it as the new password</t>
  </si>
  <si>
    <t xml:space="preserve">AGENT_RESET_EMAIL; OTP_CODE; weak password list in tests/ui/auth.spec.js</t>
  </si>
  <si>
    <t xml:space="preserve">Every weak password is rejected with a password-policy message; the password is not changed</t>
  </si>
  <si>
    <t xml:space="preserve">Set AGENT_RESET_EMAIL and OTP_CODE (Q08, Q09)</t>
  </si>
  <si>
    <t xml:space="preserve">Q08, Q09</t>
  </si>
  <si>
    <t xml:space="preserve">TC-AUTH-V09</t>
  </si>
  <si>
    <t xml:space="preserve">MFA/OTP simulation login</t>
  </si>
  <si>
    <t xml:space="preserve">AUTH-V09</t>
  </si>
  <si>
    <t xml:space="preserve">S1+</t>
  </si>
  <si>
    <t xml:space="preserve">Seeded MFA agent (AGENT_MFA); simulated OTP known (OTP_CODE)</t>
  </si>
  <si>
    <t xml:space="preserve">1. Log in with MFA agent credentials
2. Confirm OTP prompt
3. Enter a WRONG OTP
4. Enter the correct OTP</t>
  </si>
  <si>
    <t xml:space="preserve">AGENT_MFA_EMAIL; OTP_CODE</t>
  </si>
  <si>
    <t xml:space="preserve">OTP prompt appears; wrong OTP is rejected; correct OTP completes login to the dashboard</t>
  </si>
  <si>
    <t xml:space="preserve">Set OTP_CODE (Q08). agent.mfa is a confirmed seeded account</t>
  </si>
  <si>
    <t xml:space="preserve">Q08</t>
  </si>
  <si>
    <t xml:space="preserve">TC-AUTH-V14</t>
  </si>
  <si>
    <t xml:space="preserve">Admin logs in and lands on the dashboard (carried over from the starter project as AUTH-V01b)</t>
  </si>
  <si>
    <t xml:space="preserve">AUTH-V14</t>
  </si>
  <si>
    <t xml:space="preserve">S2+</t>
  </si>
  <si>
    <t xml:space="preserve">Seeded admin user exists and is active; browser has no session</t>
  </si>
  <si>
    <t xml:space="preserve">1. Open /login
2. Enter admin email and password
3. Click Log in</t>
  </si>
  <si>
    <t xml:space="preserve">ADMIN_EMAIL + ADMIN_PASSWORD</t>
  </si>
  <si>
    <t xml:space="preserve">Browser lands on /dashboard (admin is the only role that does); the logout control is visible</t>
  </si>
  <si>
    <t xml:space="preserve">TC-AUTH-V10</t>
  </si>
  <si>
    <t xml:space="preserve">Session timeout redirects to login</t>
  </si>
  <si>
    <t xml:space="preserve">AUTH-V10</t>
  </si>
  <si>
    <t xml:space="preserve">1. Log in
2. Stay idle for SESSION_TIMEOUT_SECONDS + 2 seconds
3. Navigate to a protected page</t>
  </si>
  <si>
    <t xml:space="preserve">SESSION_TIMEOUT_SECONDS (short value on a test environment)</t>
  </si>
  <si>
    <t xml:space="preserve">The expired session is redirected to /login</t>
  </si>
  <si>
    <t xml:space="preserve">Set SESSION_TIMEOUT_SECONDS (Q07); keep it small</t>
  </si>
  <si>
    <t xml:space="preserve">Q07</t>
  </si>
  <si>
    <t xml:space="preserve">TC-AUTH-V11</t>
  </si>
  <si>
    <t xml:space="preserve">Forgot-password flow (/forgot-password)</t>
  </si>
  <si>
    <t xml:space="preserve">AUTH-V11</t>
  </si>
  <si>
    <t xml:space="preserve">1. Open /login
2. Click the forgot-password link
3. Enter the agent email
4. Submit</t>
  </si>
  <si>
    <t xml:space="preserve">The forgot-password page opens and submitting a known email shows a confirmation or the OTP step (no error)</t>
  </si>
  <si>
    <t xml:space="preserve">Low</t>
  </si>
  <si>
    <t xml:space="preserve">@regression @authentication @p3</t>
  </si>
  <si>
    <t xml:space="preserve">TC-AUTH-V12</t>
  </si>
  <si>
    <t xml:space="preserve">Reset OTP: wrong OTP rejected; correct OTP reaches new-password step</t>
  </si>
  <si>
    <t xml:space="preserve">AUTH-V12</t>
  </si>
  <si>
    <t xml:space="preserve">1. Open /forgot-password and request a reset
2. Enter a WRONG OTP
3. Enter the correct OTP</t>
  </si>
  <si>
    <t xml:space="preserve">AGENT_RESET_EMAIL; OTP_CODE</t>
  </si>
  <si>
    <t xml:space="preserve">Wrong OTP shows an OTP error and does not advance; correct OTP shows the new-password fields (password is NOT changed by this test)</t>
  </si>
  <si>
    <t xml:space="preserve">Set AGENT_RESET_EMAIL and OTP_CODE (Q08)</t>
  </si>
  <si>
    <t xml:space="preserve">TC-AUTH-V13</t>
  </si>
  <si>
    <t xml:space="preserve">New password identical to the current password is rejected</t>
  </si>
  <si>
    <t xml:space="preserve">AUTH-V13</t>
  </si>
  <si>
    <t xml:space="preserve">DISPOSABLE reset agent (AGENT_RESET); OTP_CODE known</t>
  </si>
  <si>
    <t xml:space="preserve">1. Request reset and pass the OTP step
2. Enter the CURRENT password as the new password and confirm
3. Submit</t>
  </si>
  <si>
    <t xml:space="preserve">AGENT_RESET_EMAIL / AGENT_RESET_PASSWORD; OTP_CODE</t>
  </si>
  <si>
    <t xml:space="preserve">Rejected with a "must differ from current password" style message</t>
  </si>
  <si>
    <t xml:space="preserve">Set AGENT_RESET_EMAIL and OTP_CODE</t>
  </si>
  <si>
    <t xml:space="preserve">TC-DASH-V01</t>
  </si>
  <si>
    <t xml:space="preserve">Dashboard loads: draft/submitted summary and New Application CTA</t>
  </si>
  <si>
    <t xml:space="preserve">DASH-V01</t>
  </si>
  <si>
    <t xml:space="preserve">R07</t>
  </si>
  <si>
    <t xml:space="preserve">1. Open the dashboard</t>
  </si>
  <si>
    <t xml:space="preserve">New Application control is visible; draft and submitted summary figures are displayed as numbers</t>
  </si>
  <si>
    <t xml:space="preserve">tests/ui/dashboard.spec.js</t>
  </si>
  <si>
    <t xml:space="preserve">@regression @dashboard @p2 @smoke</t>
  </si>
  <si>
    <t xml:space="preserve">TC-DASH-V02</t>
  </si>
  <si>
    <t xml:space="preserve">Agent sees only own applications (multi-agent isolation)</t>
  </si>
  <si>
    <t xml:space="preserve">DASH-V02</t>
  </si>
  <si>
    <t xml:space="preserve">R08</t>
  </si>
  <si>
    <t xml:space="preserve">Two seeded agents (AGENT_VALID, AGENT_SECOND), each with applications</t>
  </si>
  <si>
    <t xml:space="preserve">1. Open dashboard as agent A and collect row identifiers
2. Open dashboard as agent B and collect row identifiers
3. Compare the two sets</t>
  </si>
  <si>
    <t xml:space="preserve">AGENT_VALID_*, AGENT_SECOND_*</t>
  </si>
  <si>
    <t xml:space="preserve">The two sets of application rows do not overlap</t>
  </si>
  <si>
    <t xml:space="preserve">Second agent defaults to learner001 (confirmed seeded); override with AGENT_SECOND_EMAIL</t>
  </si>
  <si>
    <t xml:space="preserve">@regression @dashboard @p1 @release-gate @api</t>
  </si>
  <si>
    <t xml:space="preserve">TC-DASH-V03</t>
  </si>
  <si>
    <t xml:space="preserve">New agent sees empty-state copy and CTA</t>
  </si>
  <si>
    <t xml:space="preserve">DASH-V03</t>
  </si>
  <si>
    <t xml:space="preserve">Seeded NEW agent (AGENT_NEW) with zero applications</t>
  </si>
  <si>
    <t xml:space="preserve">1. Sign in as the new agent
2. Open the dashboard</t>
  </si>
  <si>
    <t xml:space="preserve">AGENT_NEW_*</t>
  </si>
  <si>
    <t xml:space="preserve">Empty-state text and the New Application control are visible; no application rows</t>
  </si>
  <si>
    <t xml:space="preserve">agent.new is a confirmed seeded account, but login auto-creates a draft (BR-AUTH-010) so the empty state may never appear - verify on the lab</t>
  </si>
  <si>
    <t xml:space="preserve">@regression @dashboard @p3</t>
  </si>
  <si>
    <t xml:space="preserve">CL-02</t>
  </si>
  <si>
    <t xml:space="preserve">TC-DASH-V04</t>
  </si>
  <si>
    <t xml:space="preserve">Draft can be resumed from dashboard with saved data</t>
  </si>
  <si>
    <t xml:space="preserve">DASH-V04</t>
  </si>
  <si>
    <t xml:space="preserve">R09</t>
  </si>
  <si>
    <t xml:space="preserve">RI-16: Draft data not persisted</t>
  </si>
  <si>
    <t xml:space="preserve">SDC-16</t>
  </si>
  <si>
    <t xml:space="preserve">Valid agent (AGENT_VALID) signed in via saved session; environment reachable; client step reachable</t>
  </si>
  <si>
    <t xml:space="preserve">1. Start a new application
2. Fill the client step and Save draft
3. Go to the dashboard
4. Resume the draft row
5. Read the client first name</t>
  </si>
  <si>
    <t xml:space="preserve">The resumed draft shows the client first name that was saved</t>
  </si>
  <si>
    <t xml:space="preserve">@regression @dashboard @p2 @seeded</t>
  </si>
  <si>
    <t xml:space="preserve">TC-DASH-V05</t>
  </si>
  <si>
    <t xml:space="preserve">Status filters (Draft/Submitted/Approved) return correct rows</t>
  </si>
  <si>
    <t xml:space="preserve">DASH-V05</t>
  </si>
  <si>
    <t xml:space="preserve">1. Open the dashboard
2. For each status filter value (Draft, Submitted, Approved) apply the filter
3. Read the status of every visible row</t>
  </si>
  <si>
    <t xml:space="preserve">Every visible row has the selected status (an empty result is acceptable only if no such applications exist)</t>
  </si>
  <si>
    <t xml:space="preserve">@regression @dashboard @p2</t>
  </si>
  <si>
    <t xml:space="preserve">CL-01</t>
  </si>
  <si>
    <t xml:space="preserve">TC-DASH-V06</t>
  </si>
  <si>
    <t xml:space="preserve">Dashboard status matches Application Status API</t>
  </si>
  <si>
    <t xml:space="preserve">DASH-V06</t>
  </si>
  <si>
    <t xml:space="preserve">RI-18: Dashboard status differs from backend status</t>
  </si>
  <si>
    <t xml:space="preserve">SDC-18</t>
  </si>
  <si>
    <t xml:space="preserve">UI-API Integration</t>
  </si>
  <si>
    <t xml:space="preserve">1. Open the dashboard and read id and status of up to 5 rows
2. Call GET /applications/{id}/status for each
3. Compare</t>
  </si>
  <si>
    <t xml:space="preserve">UI status equals API status for every compared application</t>
  </si>
  <si>
    <t xml:space="preserve">Screenshot + API response attached</t>
  </si>
  <si>
    <t xml:space="preserve">tests/integration/ui-api.spec.js</t>
  </si>
  <si>
    <t xml:space="preserve">@regression @dashboard @p2 @seeded @api</t>
  </si>
  <si>
    <t xml:space="preserve">TC-DASH-V07</t>
  </si>
  <si>
    <t xml:space="preserve">Dashboard search returns matching applications</t>
  </si>
  <si>
    <t xml:space="preserve">DASH-V07</t>
  </si>
  <si>
    <t xml:space="preserve">Valid agent (AGENT_VALID) signed in via saved session; environment reachable; at least one application exists</t>
  </si>
  <si>
    <t xml:space="preserve">1. Open the dashboard
2. Take a search term from the first row
3. Search for it</t>
  </si>
  <si>
    <t xml:space="preserve">At least one row is shown and every shown row contains the term</t>
  </si>
  <si>
    <t xml:space="preserve">TC-CLI-V01</t>
  </si>
  <si>
    <t xml:space="preserve">Valid insured personal information enables next step</t>
  </si>
  <si>
    <t xml:space="preserve">CLI-V01</t>
  </si>
  <si>
    <t xml:space="preserve">R10</t>
  </si>
  <si>
    <t xml:space="preserve">Valid agent (AGENT_VALID) signed in via saved session; environment reachable; NEW application open at the client step (first step)</t>
  </si>
  <si>
    <t xml:space="preserve">1. Fill every client field with valid data
2. Click Next</t>
  </si>
  <si>
    <t xml:space="preserve">Navigation moves to the next step (step title changes) with no validation errors</t>
  </si>
  <si>
    <t xml:space="preserve">tests/ui/client.spec.js</t>
  </si>
  <si>
    <t xml:space="preserve">@regression @client @p2 @smoke</t>
  </si>
  <si>
    <t xml:space="preserve">Failed</t>
  </si>
  <si>
    <t xml:space="preserve">AD-01, AD-02, AD-05, AD-06</t>
  </si>
  <si>
    <t xml:space="preserve">TC-CLI-V02</t>
  </si>
  <si>
    <t xml:space="preserve">Mandatory personal fields validated inline</t>
  </si>
  <si>
    <t xml:space="preserve">CLI-V02</t>
  </si>
  <si>
    <t xml:space="preserve">1. Leave all client fields empty
2. Click Next</t>
  </si>
  <si>
    <t xml:space="preserve">User stays on the step; first name, last name and date of birth each show a required message</t>
  </si>
  <si>
    <t xml:space="preserve">@regression @client @p2</t>
  </si>
  <si>
    <t xml:space="preserve">TC-CLI-V03</t>
  </si>
  <si>
    <t xml:space="preserve">DOB under 18 rejected (age boundary)</t>
  </si>
  <si>
    <t xml:space="preserve">CLI-V03</t>
  </si>
  <si>
    <t xml:space="preserve">RI-04: Client age eligibility rules (18-65) missed</t>
  </si>
  <si>
    <t xml:space="preserve">SDC-04</t>
  </si>
  <si>
    <t xml:space="preserve">1. Enter DOB for a person who turns 18 TOMORROW (age 17) and click Next
2. Enter DOB for a person exactly 18 today and click Next</t>
  </si>
  <si>
    <t xml:space="preserve">dobForAge(18,{dayOffset:1}) and dobForAge(18)</t>
  </si>
  <si>
    <t xml:space="preserve">Age 17 is rejected with an eligibility message and the step does not advance; age 18 is accepted (inclusive rule - assumption A06 / Q10)</t>
  </si>
  <si>
    <t xml:space="preserve">@regression @client @p2 @seeded @api</t>
  </si>
  <si>
    <t xml:space="preserve">TC-CLI-V04</t>
  </si>
  <si>
    <t xml:space="preserve">DOB over 65 rejected (age boundary)</t>
  </si>
  <si>
    <t xml:space="preserve">CLI-V04</t>
  </si>
  <si>
    <t xml:space="preserve">1. Enter DOB for a person exactly 66 years old and click Next
2. Enter DOB for a person exactly 65 today and click Next</t>
  </si>
  <si>
    <t xml:space="preserve">dobForAge(66) and dobForAge(65)</t>
  </si>
  <si>
    <t xml:space="preserve">Age 66 is rejected with an eligibility message; age 65 is accepted (inclusive rule - A06 / Q10)</t>
  </si>
  <si>
    <t xml:space="preserve">TC-CLI-V05</t>
  </si>
  <si>
    <t xml:space="preserve">Future DOB rejected</t>
  </si>
  <si>
    <t xml:space="preserve">CLI-V05</t>
  </si>
  <si>
    <t xml:space="preserve">R11</t>
  </si>
  <si>
    <t xml:space="preserve">RI-05: Future date of birth accepted</t>
  </si>
  <si>
    <t xml:space="preserve">SDC-05</t>
  </si>
  <si>
    <t xml:space="preserve">1. Enter a DOB of tomorrow and click Next
2. Enter a DOB 5 years in the future and click Next</t>
  </si>
  <si>
    <t xml:space="preserve">futureDate(1), futureDate(1825)</t>
  </si>
  <si>
    <t xml:space="preserve">Both dates are rejected with an invalid-date message and the step does not advance</t>
  </si>
  <si>
    <t xml:space="preserve">@regression @client @p1 @release-gate @seeded @api</t>
  </si>
  <si>
    <t xml:space="preserve">TC-CLI-V06</t>
  </si>
  <si>
    <t xml:space="preserve">Same-as-residential copies address to mailing address</t>
  </si>
  <si>
    <t xml:space="preserve">CLI-V06</t>
  </si>
  <si>
    <t xml:space="preserve">R15</t>
  </si>
  <si>
    <t xml:space="preserve">Valid agent (AGENT_VALID) signed in via saved session; environment reachable; NEW application open at the address step with every earlier step completed using valid data</t>
  </si>
  <si>
    <t xml:space="preserve">1. Fill the residential address
2. Tick "same as residential"
3. Read the mailing address fields</t>
  </si>
  <si>
    <t xml:space="preserve">Mailing line 1, city and ZIP equal the residential values</t>
  </si>
  <si>
    <t xml:space="preserve">@regression @client @p3</t>
  </si>
  <si>
    <t xml:space="preserve">TC-CLI-V07</t>
  </si>
  <si>
    <t xml:space="preserve">Invalid email and phone formats rejected</t>
  </si>
  <si>
    <t xml:space="preserve">CLI-V07</t>
  </si>
  <si>
    <t xml:space="preserve">1. Fill a valid address
2. For each invalid email (no @, no domain, spaces) enter it and click Next
3. For each invalid phone (letters, too short) enter it and click Next</t>
  </si>
  <si>
    <t xml:space="preserve">Invalid email / phone lists in tests/ui/client.spec.js</t>
  </si>
  <si>
    <t xml:space="preserve">Each invalid value shows a format error next to the field and the step does not advance</t>
  </si>
  <si>
    <t xml:space="preserve">TC-CLI-V08</t>
  </si>
  <si>
    <t xml:space="preserve">SSN masked after entry (only last four digits visible)</t>
  </si>
  <si>
    <t xml:space="preserve">CLI-V08</t>
  </si>
  <si>
    <t xml:space="preserve">R12</t>
  </si>
  <si>
    <t xml:space="preserve">RI-07: SSN not masked properly</t>
  </si>
  <si>
    <t xml:space="preserve">SDC-07</t>
  </si>
  <si>
    <t xml:space="preserve">Valid agent (AGENT_VALID) signed in via saved session; environment reachable; NEW application open at the kyc step with every earlier step completed using valid data</t>
  </si>
  <si>
    <t xml:space="preserve">1. Enter the synthetic SSN 900-12-3456
2. Leave the field (blur)
3. Read what is visible for the SSN</t>
  </si>
  <si>
    <t xml:space="preserve">Synthetic SSN 900-12-3456 (900-series is never issued)</t>
  </si>
  <si>
    <t xml:space="preserve">Only the last four digits (3456) are visible; the first five digits are masked</t>
  </si>
  <si>
    <t xml:space="preserve">tests/ui/client-kyc-sensitive.spec.js</t>
  </si>
  <si>
    <t xml:space="preserve">@regression @client @p1 @release-gate @sensitive @seeded</t>
  </si>
  <si>
    <t xml:space="preserve">AD-08</t>
  </si>
  <si>
    <t xml:space="preserve">TC-CLI-V09</t>
  </si>
  <si>
    <t xml:space="preserve">KYC upload rejects unsupported file type</t>
  </si>
  <si>
    <t xml:space="preserve">CLI-V09</t>
  </si>
  <si>
    <t xml:space="preserve">R30</t>
  </si>
  <si>
    <t xml:space="preserve">1. Upload an .exe file in the KYC document control</t>
  </si>
  <si>
    <t xml:space="preserve">In-memory malware-test.exe</t>
  </si>
  <si>
    <t xml:space="preserve">An unsupported-type message is shown and the file is not accepted</t>
  </si>
  <si>
    <t xml:space="preserve">Skips if the KYC step has no upload control</t>
  </si>
  <si>
    <t xml:space="preserve">@regression @client @p2 @sensitive</t>
  </si>
  <si>
    <t xml:space="preserve">TC-CLI-V10</t>
  </si>
  <si>
    <t xml:space="preserve">PEP = Yes makes additional details mandatory</t>
  </si>
  <si>
    <t xml:space="preserve">CLI-V10</t>
  </si>
  <si>
    <t xml:space="preserve">R14</t>
  </si>
  <si>
    <t xml:space="preserve">1. Select PEP = Yes
2. Confirm the PEP details field appears
3. Click Next without details</t>
  </si>
  <si>
    <t xml:space="preserve">PEP details field becomes visible and Next is blocked with a required message until it is filled</t>
  </si>
  <si>
    <t xml:space="preserve">TC-CLI-V11</t>
  </si>
  <si>
    <t xml:space="preserve">Postal code format validated</t>
  </si>
  <si>
    <t xml:space="preserve">CLI-V11</t>
  </si>
  <si>
    <t xml:space="preserve">1. Fill a valid address with an invalid ZIP (letters, too short, too long)
2. Click Next</t>
  </si>
  <si>
    <t xml:space="preserve">ZIPs: ABCDE, 123, 0211000000</t>
  </si>
  <si>
    <t xml:space="preserve">Each invalid ZIP is rejected with a postal-code message</t>
  </si>
  <si>
    <t xml:space="preserve">TC-CLI-V12</t>
  </si>
  <si>
    <t xml:space="preserve">Income vs premium affordability validation</t>
  </si>
  <si>
    <t xml:space="preserve">CLI-V12</t>
  </si>
  <si>
    <t xml:space="preserve">R13</t>
  </si>
  <si>
    <t xml:space="preserve">RI-08: Income vs premium affordability not applied</t>
  </si>
  <si>
    <t xml:space="preserve">SDC-08</t>
  </si>
  <si>
    <t xml:space="preserve">1. Enter a very LOW annual income
2. Continue to Product and select a product with a very HIGH face value
3. Click Next</t>
  </si>
  <si>
    <t xml:space="preserve">income 12000; face value 5,000,000 (rule undefined - Q11)</t>
  </si>
  <si>
    <t xml:space="preserve">An affordability warning or block referring to income/premium is shown (formula TBC with the product owner)</t>
  </si>
  <si>
    <t xml:space="preserve">@regression @client @p2 @sensitive @seeded @api</t>
  </si>
  <si>
    <t xml:space="preserve">TC-CLI-V13</t>
  </si>
  <si>
    <t xml:space="preserve">Calculated age is displayed after DOB entry</t>
  </si>
  <si>
    <t xml:space="preserve">CLI-V13</t>
  </si>
  <si>
    <t xml:space="preserve">1. Enter a DOB for each of ages 18, 35 and 65
2. Read the displayed age</t>
  </si>
  <si>
    <t xml:space="preserve">dobForAge(18|35|65)</t>
  </si>
  <si>
    <t xml:space="preserve">The age shown equals the age calculated from the DOB (calcAge in utils/dates.js)</t>
  </si>
  <si>
    <t xml:space="preserve">TC-CLI-V14</t>
  </si>
  <si>
    <t xml:space="preserve">Name validation rejects digits and special characters</t>
  </si>
  <si>
    <t xml:space="preserve">CLI-V14</t>
  </si>
  <si>
    <t xml:space="preserve">1. Enter a first name containing digits, click Next
2. Enter a last name containing special characters, click Next</t>
  </si>
  <si>
    <t xml:space="preserve">First name "J0hn123"; last name "O@#$%"</t>
  </si>
  <si>
    <t xml:space="preserve">Each invalid name is rejected with a name-format message and the step does not advance</t>
  </si>
  <si>
    <t xml:space="preserve">TC-CLI-V15</t>
  </si>
  <si>
    <t xml:space="preserve">State is required and validated</t>
  </si>
  <si>
    <t xml:space="preserve">CLI-V15</t>
  </si>
  <si>
    <t xml:space="preserve">1. Fill a valid address but clear the state selection
2. Click Next</t>
  </si>
  <si>
    <t xml:space="preserve">A state-required message is shown and the step does not advance</t>
  </si>
  <si>
    <t xml:space="preserve">Skips if the state control has no empty option</t>
  </si>
  <si>
    <t xml:space="preserve">TC-PROD-V01</t>
  </si>
  <si>
    <t xml:space="preserve">Catalog displays expected Whole Life products</t>
  </si>
  <si>
    <t xml:space="preserve">PROD-V01</t>
  </si>
  <si>
    <t xml:space="preserve">R16</t>
  </si>
  <si>
    <t xml:space="preserve">Valid agent (AGENT_VALID) signed in via saved session; environment reachable; NEW application open at the product step with every earlier step completed using valid data</t>
  </si>
  <si>
    <t xml:space="preserve">1. Open the product step
2. Read the product cards</t>
  </si>
  <si>
    <t xml:space="preserve">PRODUCT_NAME_PATTERN (default "whole life")</t>
  </si>
  <si>
    <t xml:space="preserve">At least one product card is shown and at least one matches the Whole Life pattern</t>
  </si>
  <si>
    <t xml:space="preserve">tests/ui/product.spec.js</t>
  </si>
  <si>
    <t xml:space="preserve">@regression @product @p1 @smoke @release-gate</t>
  </si>
  <si>
    <t xml:space="preserve">AD-01, AD-02, AD-04</t>
  </si>
  <si>
    <t xml:space="preserve">TC-PROD-V02</t>
  </si>
  <si>
    <t xml:space="preserve">Product details page shows features, eligibility, limits</t>
  </si>
  <si>
    <t xml:space="preserve">PROD-V02</t>
  </si>
  <si>
    <t xml:space="preserve">1. Open the details of the first product</t>
  </si>
  <si>
    <t xml:space="preserve">Details mention features/benefits and eligibility or limits</t>
  </si>
  <si>
    <t xml:space="preserve">Skips if no details link exists</t>
  </si>
  <si>
    <t xml:space="preserve">@regression @product @p2</t>
  </si>
  <si>
    <t xml:space="preserve">TC-PROD-V03</t>
  </si>
  <si>
    <t xml:space="preserve">Face value below minimum rejected</t>
  </si>
  <si>
    <t xml:space="preserve">PROD-V03</t>
  </si>
  <si>
    <t xml:space="preserve">R17</t>
  </si>
  <si>
    <t xml:space="preserve">1. Select a product
2. Enter face value = minimum - 1
3. Click Next
4. Enter face value = minimum and click Next</t>
  </si>
  <si>
    <t xml:space="preserve">FACE_VALUE_MIN</t>
  </si>
  <si>
    <t xml:space="preserve">minimum-1 is rejected; exactly minimum is accepted</t>
  </si>
  <si>
    <t xml:space="preserve">Set FACE_VALUE_MIN (Q13)</t>
  </si>
  <si>
    <t xml:space="preserve">Q13</t>
  </si>
  <si>
    <t xml:space="preserve">TC-PROD-V04</t>
  </si>
  <si>
    <t xml:space="preserve">Face value above maximum rejected</t>
  </si>
  <si>
    <t xml:space="preserve">PROD-V04</t>
  </si>
  <si>
    <t xml:space="preserve">1. Select a product
2. Enter face value = maximum + 1
3. Click Next</t>
  </si>
  <si>
    <t xml:space="preserve">FACE_VALUE_MAX</t>
  </si>
  <si>
    <t xml:space="preserve">maximum+1 is rejected with a limit message</t>
  </si>
  <si>
    <t xml:space="preserve">Set FACE_VALUE_MAX (Q13)</t>
  </si>
  <si>
    <t xml:space="preserve">TC-PROD-V05</t>
  </si>
  <si>
    <t xml:space="preserve">Premium recalculates when frequency changes</t>
  </si>
  <si>
    <t xml:space="preserve">PROD-V05</t>
  </si>
  <si>
    <t xml:space="preserve">R18</t>
  </si>
  <si>
    <t xml:space="preserve">RI-12: Premium not updated after configuration change</t>
  </si>
  <si>
    <t xml:space="preserve">SDC-12</t>
  </si>
  <si>
    <t xml:space="preserve">1. Select a product and set face value
2. Read the premium for Monthly
3. Change frequency to Annual and read the premium
4. Change back to Monthly</t>
  </si>
  <si>
    <t xml:space="preserve">FACE_VALUE_DEFAULT; frequencies Monthly / Annual</t>
  </si>
  <si>
    <t xml:space="preserve">The displayed premium changes when frequency changes and returns to the original value when switched back</t>
  </si>
  <si>
    <t xml:space="preserve">@regression @product @p1 @release-gate @seeded @api</t>
  </si>
  <si>
    <t xml:space="preserve">TC-PROD-V06</t>
  </si>
  <si>
    <t xml:space="preserve">Review-page premium matches configuration page</t>
  </si>
  <si>
    <t xml:space="preserve">PROD-V06</t>
  </si>
  <si>
    <t xml:space="preserve">R18, R19</t>
  </si>
  <si>
    <t xml:space="preserve">UI Consistency</t>
  </si>
  <si>
    <t xml:space="preserve">UI + DB</t>
  </si>
  <si>
    <t xml:space="preserve">1. Select product, configure and read the premium
2. Complete riders (none), beneficiaries and documents
3. Open the review step and read the premium</t>
  </si>
  <si>
    <t xml:space="preserve">Review premium equals the configured premium</t>
  </si>
  <si>
    <t xml:space="preserve">@regression @product @p1 @release-gate @seeded</t>
  </si>
  <si>
    <t xml:space="preserve">TC-PROD-V07</t>
  </si>
  <si>
    <t xml:space="preserve">Suitability warning shown for risk-profile mismatch</t>
  </si>
  <si>
    <t xml:space="preserve">PROD-V07</t>
  </si>
  <si>
    <t xml:space="preserve">RI-09: Product eligibility not validated against age / suitability</t>
  </si>
  <si>
    <t xml:space="preserve">1. Set a Conservative risk profile in KYC
2. Select the product whose risk is a known mismatch
3. Observe the product step</t>
  </si>
  <si>
    <t xml:space="preserve">SUITABILITY_PRODUCT_PATTERN</t>
  </si>
  <si>
    <t xml:space="preserve">A suitability warning is displayed</t>
  </si>
  <si>
    <t xml:space="preserve">Set SUITABILITY_PRODUCT_PATTERN (Q13)</t>
  </si>
  <si>
    <t xml:space="preserve">@regression @product @p2 @seeded</t>
  </si>
  <si>
    <t xml:space="preserve">TC-PROD-V08</t>
  </si>
  <si>
    <t xml:space="preserve">Product eligibility validated against client age</t>
  </si>
  <si>
    <t xml:space="preserve">PROD-V08</t>
  </si>
  <si>
    <t xml:space="preserve">1. Create a client of the ineligible age
2. Continue to Product
3. Select the age-restricted product</t>
  </si>
  <si>
    <t xml:space="preserve">INELIGIBLE_AGE, INELIGIBLE_AGE_PRODUCT_PATTERN</t>
  </si>
  <si>
    <t xml:space="preserve">The product is disabled, or selecting it shows an eligibility message and does not advance</t>
  </si>
  <si>
    <t xml:space="preserve">Set INELIGIBLE_AGE and INELIGIBLE_AGE_PRODUCT_PATTERN (Q13)</t>
  </si>
  <si>
    <t xml:space="preserve">@regression @product @p2 @seeded @api</t>
  </si>
  <si>
    <t xml:space="preserve">TC-PROD-V09</t>
  </si>
  <si>
    <t xml:space="preserve">Payment term and policy term options follow product rules</t>
  </si>
  <si>
    <t xml:space="preserve">PROD-V09</t>
  </si>
  <si>
    <t xml:space="preserve">1. Select a product
2. Read payment-term and policy-term options</t>
  </si>
  <si>
    <t xml:space="preserve">Both lists are non-empty and contain no duplicate options (term-combination rules TBC - Q14)</t>
  </si>
  <si>
    <t xml:space="preserve">Skips if the terms are not dropdowns</t>
  </si>
  <si>
    <t xml:space="preserve">TC-PROD-V10</t>
  </si>
  <si>
    <t xml:space="preserve">Inactive product cannot be selected</t>
  </si>
  <si>
    <t xml:space="preserve">PROD-V10</t>
  </si>
  <si>
    <t xml:space="preserve">1. Find product cards marked inactive
2. Try to select one</t>
  </si>
  <si>
    <t xml:space="preserve">The select control is disabled (or selection is refused) for every inactive product</t>
  </si>
  <si>
    <t xml:space="preserve">Skips if the environment shows no inactive product</t>
  </si>
  <si>
    <t xml:space="preserve">TC-PROD-V11</t>
  </si>
  <si>
    <t xml:space="preserve">Product configuration persists after save draft and reload</t>
  </si>
  <si>
    <t xml:space="preserve">PROD-V11</t>
  </si>
  <si>
    <t xml:space="preserve">R33, R18</t>
  </si>
  <si>
    <t xml:space="preserve">1. Select a product and set face value and frequency
2. Save draft
3. Reload the page
4. Read face value and frequency</t>
  </si>
  <si>
    <t xml:space="preserve">Face value and frequency are unchanged after reload</t>
  </si>
  <si>
    <t xml:space="preserve">TC-RIDER-V01</t>
  </si>
  <si>
    <t xml:space="preserve">Eligible protection rider (ADB) added to premium summary</t>
  </si>
  <si>
    <t xml:space="preserve">RIDER-V01</t>
  </si>
  <si>
    <t xml:space="preserve">R23</t>
  </si>
  <si>
    <t xml:space="preserve">Valid agent (AGENT_VALID) signed in via saved session; environment reachable; NEW application open at the riders step with every earlier step completed using valid data</t>
  </si>
  <si>
    <t xml:space="preserve">1. Add the Accidental Death Benefit rider
2. Read the rider premium summary</t>
  </si>
  <si>
    <t xml:space="preserve">RIDER_ADB_PATTERN</t>
  </si>
  <si>
    <t xml:space="preserve">The rider shows as added and a rider premium greater than zero appears in the summary</t>
  </si>
  <si>
    <t xml:space="preserve">tests/ui/riders.spec.js</t>
  </si>
  <si>
    <t xml:space="preserve">@regression @rider @p2 @smoke</t>
  </si>
  <si>
    <t xml:space="preserve">AD-01, AD-02, AD-04, AD-09</t>
  </si>
  <si>
    <t xml:space="preserve">TC-RIDER-V02</t>
  </si>
  <si>
    <t xml:space="preserve">Rider coverage cannot exceed base face value</t>
  </si>
  <si>
    <t xml:space="preserve">RIDER-V02</t>
  </si>
  <si>
    <t xml:space="preserve">R20</t>
  </si>
  <si>
    <t xml:space="preserve">RI-10: Rider coverage exceeds base face value</t>
  </si>
  <si>
    <t xml:space="preserve">SDC-10</t>
  </si>
  <si>
    <t xml:space="preserve">1. Add the ADB rider
2. Enter rider coverage = face value + 1</t>
  </si>
  <si>
    <t xml:space="preserve">FACE_VALUE_DEFAULT + 1</t>
  </si>
  <si>
    <t xml:space="preserve">A rider-exceeds-face-value message is shown and the value is not accepted</t>
  </si>
  <si>
    <t xml:space="preserve">@regression @rider @p1 @release-gate @seeded @api</t>
  </si>
  <si>
    <t xml:space="preserve">TC-RIDER-V03</t>
  </si>
  <si>
    <t xml:space="preserve">Age-ineligible rider disabled or blocked</t>
  </si>
  <si>
    <t xml:space="preserve">RIDER-V03</t>
  </si>
  <si>
    <t xml:space="preserve">R22</t>
  </si>
  <si>
    <t xml:space="preserve">Valid agent (AGENT_VALID) signed in via saved session; environment reachable; client step completed with a client of the age that makes the rider ineligible</t>
  </si>
  <si>
    <t xml:space="preserve">1. Open the rider step
2. Try to add the age-restricted rider</t>
  </si>
  <si>
    <t xml:space="preserve">RIDER_AGE_RESTRICTED_PATTERN; client age 64</t>
  </si>
  <si>
    <t xml:space="preserve">The rider control is disabled, or adding it shows an eligibility message</t>
  </si>
  <si>
    <t xml:space="preserve">Set RIDER_AGE_RESTRICTED_PATTERN (Q15)</t>
  </si>
  <si>
    <t xml:space="preserve">Q15</t>
  </si>
  <si>
    <t xml:space="preserve">@regression @rider @p2</t>
  </si>
  <si>
    <t xml:space="preserve">TC-RIDER-V04</t>
  </si>
  <si>
    <t xml:space="preserve">Maximum rider count enforced with message</t>
  </si>
  <si>
    <t xml:space="preserve">RIDER-V04</t>
  </si>
  <si>
    <t xml:space="preserve">1. Add riders up to the maximum
2. Try to add one more</t>
  </si>
  <si>
    <t xml:space="preserve">MAX_RIDERS</t>
  </si>
  <si>
    <t xml:space="preserve">The extra rider is refused with a maximum-count message</t>
  </si>
  <si>
    <t xml:space="preserve">MAX_RIDERS defaults to the confirmed 4; needs more rider cards than the maximum</t>
  </si>
  <si>
    <t xml:space="preserve">TC-RIDER-V05</t>
  </si>
  <si>
    <t xml:space="preserve">Mutually exclusive waiver riders cannot both be selected</t>
  </si>
  <si>
    <t xml:space="preserve">RIDER-V05</t>
  </si>
  <si>
    <t xml:space="preserve">R21</t>
  </si>
  <si>
    <t xml:space="preserve">RI-11: Exclusive waiver riders both selectable</t>
  </si>
  <si>
    <t xml:space="preserve">1. Add waiver rider A
2. Try to add waiver rider B</t>
  </si>
  <si>
    <t xml:space="preserve">RIDER_WAIVER_A_PATTERN / RIDER_WAIVER_B_PATTERN</t>
  </si>
  <si>
    <t xml:space="preserve">Rider B is disabled or refused with a message; both are never selected at once</t>
  </si>
  <si>
    <t xml:space="preserve">Set RIDER_WAIVER_A_PATTERN and RIDER_WAIVER_B_PATTERN (Q15)</t>
  </si>
  <si>
    <t xml:space="preserve">@regression @rider @p2 @seeded</t>
  </si>
  <si>
    <t xml:space="preserve">TC-RIDER-V06</t>
  </si>
  <si>
    <t xml:space="preserve">Critical illness rider triggers health questionnaire</t>
  </si>
  <si>
    <t xml:space="preserve">RIDER-V06</t>
  </si>
  <si>
    <t xml:space="preserve">1. Add the Critical Illness rider</t>
  </si>
  <si>
    <t xml:space="preserve">RIDER_CRITICAL_ILLNESS_PATTERN</t>
  </si>
  <si>
    <t xml:space="preserve">The health questionnaire is displayed</t>
  </si>
  <si>
    <t xml:space="preserve">Skips if no critical illness rider is offered</t>
  </si>
  <si>
    <t xml:space="preserve">TC-RIDER-V07</t>
  </si>
  <si>
    <t xml:space="preserve">Rider premium itemized and total premium updated</t>
  </si>
  <si>
    <t xml:space="preserve">RIDER-V07</t>
  </si>
  <si>
    <t xml:space="preserve">1. Read total premium
2. Add the ADB rider
3. Read the rider premium and the new total</t>
  </si>
  <si>
    <t xml:space="preserve">New total = old total + rider premium (to 2 decimals)</t>
  </si>
  <si>
    <t xml:space="preserve">TC-BEN-V01</t>
  </si>
  <si>
    <t xml:space="preserve">Valid primary beneficiary added (card/row appears)</t>
  </si>
  <si>
    <t xml:space="preserve">BEN-V01</t>
  </si>
  <si>
    <t xml:space="preserve">R24</t>
  </si>
  <si>
    <t xml:space="preserve">Valid agent (AGENT_VALID) signed in via saved session; environment reachable; NEW application open at the beneficiaries step with every earlier step completed using valid data</t>
  </si>
  <si>
    <t xml:space="preserve">1. Fill an individual primary beneficiary with 100% allocation
2. Save</t>
  </si>
  <si>
    <t xml:space="preserve">One beneficiary row appears containing the entered name</t>
  </si>
  <si>
    <t xml:space="preserve">tests/ui/beneficiaries.spec.js</t>
  </si>
  <si>
    <t xml:space="preserve">@regression @beneficiary @p2 @smoke</t>
  </si>
  <si>
    <t xml:space="preserve">AD-01, AD-02, AD-04, AD-06, AD-09</t>
  </si>
  <si>
    <t xml:space="preserve">TC-BEN-V02</t>
  </si>
  <si>
    <t xml:space="preserve">Primary allocation below 100% blocks progression</t>
  </si>
  <si>
    <t xml:space="preserve">BEN-V02</t>
  </si>
  <si>
    <t xml:space="preserve">RI-13: Allocation below / above 100% allowed</t>
  </si>
  <si>
    <t xml:space="preserve">SDC-13</t>
  </si>
  <si>
    <t xml:space="preserve">UI + API + DB</t>
  </si>
  <si>
    <t xml:space="preserve">1. Add one primary beneficiary with 60% (and 99%)
2. Click Next</t>
  </si>
  <si>
    <t xml:space="preserve">Allocations 60 and 99</t>
  </si>
  <si>
    <t xml:space="preserve">Progression is blocked with an allocation message (total must equal 100)</t>
  </si>
  <si>
    <t xml:space="preserve">@regression @beneficiary @p1 @release-gate @seeded @api</t>
  </si>
  <si>
    <t xml:space="preserve">TC-BEN-V03</t>
  </si>
  <si>
    <t xml:space="preserve">Primary allocation above 100% blocks progression</t>
  </si>
  <si>
    <t xml:space="preserve">BEN-V03</t>
  </si>
  <si>
    <t xml:space="preserve">1. Add primary beneficiaries with 60% and 60% (total 120%)
2. Click Next</t>
  </si>
  <si>
    <t xml:space="preserve">Allocations 60 + 60 (and a single 101)</t>
  </si>
  <si>
    <t xml:space="preserve">Progression is blocked with an allocation message</t>
  </si>
  <si>
    <t xml:space="preserve">@regression @beneficiary @p2 @seeded @api</t>
  </si>
  <si>
    <t xml:space="preserve">TC-BEN-V04</t>
  </si>
  <si>
    <t xml:space="preserve">Secondary allocation validated separately</t>
  </si>
  <si>
    <t xml:space="preserve">BEN-V04</t>
  </si>
  <si>
    <t xml:space="preserve">1. Add a primary beneficiary with 100%
2. Add a secondary with 50%
3. Click Next
4. Add a second secondary with 50%
5. Click Next</t>
  </si>
  <si>
    <t xml:space="preserve">Secondary total of 50% blocks progression; with secondary total 100% progression succeeds</t>
  </si>
  <si>
    <t xml:space="preserve">@regression @beneficiary @p2</t>
  </si>
  <si>
    <t xml:space="preserve">TC-BEN-V05</t>
  </si>
  <si>
    <t xml:space="preserve">Minor beneficiary requires guardian details</t>
  </si>
  <si>
    <t xml:space="preserve">BEN-V05</t>
  </si>
  <si>
    <t xml:space="preserve">R25</t>
  </si>
  <si>
    <t xml:space="preserve">RI-14: Minor beneficiary guardian not required</t>
  </si>
  <si>
    <t xml:space="preserve">SDC-14</t>
  </si>
  <si>
    <t xml:space="preserve">1. Add a beneficiary aged 10 WITHOUT guardian details and save/continue
2. Add guardian name and relationship and continue</t>
  </si>
  <si>
    <t xml:space="preserve">dobForAge(10)</t>
  </si>
  <si>
    <t xml:space="preserve">Missing guardian is refused with a guardian message; with guardian details it is accepted</t>
  </si>
  <si>
    <t xml:space="preserve">TC-BEN-V06</t>
  </si>
  <si>
    <t xml:space="preserve">Trust type shows Trust Name, Trustee Name, Trust Date</t>
  </si>
  <si>
    <t xml:space="preserve">BEN-V06</t>
  </si>
  <si>
    <t xml:space="preserve">R27</t>
  </si>
  <si>
    <t xml:space="preserve">1. Open the add form
2. Select beneficiary type Trust</t>
  </si>
  <si>
    <t xml:space="preserve">Trust name, trustee name and trust date fields are visible</t>
  </si>
  <si>
    <t xml:space="preserve">@regression @beneficiary @p3</t>
  </si>
  <si>
    <t xml:space="preserve">TC-BEN-V07</t>
  </si>
  <si>
    <t xml:space="preserve">Organization type shows registration and contact fields</t>
  </si>
  <si>
    <t xml:space="preserve">BEN-V07</t>
  </si>
  <si>
    <t xml:space="preserve">1. Open the add form
2. Select beneficiary type Organization</t>
  </si>
  <si>
    <t xml:space="preserve">Organization name, registration and contact fields are visible</t>
  </si>
  <si>
    <t xml:space="preserve">TC-BEN-V08</t>
  </si>
  <si>
    <t xml:space="preserve">Duplicate beneficiary (Name + DOB + Relationship) blocked</t>
  </si>
  <si>
    <t xml:space="preserve">BEN-V08</t>
  </si>
  <si>
    <t xml:space="preserve">R26</t>
  </si>
  <si>
    <t xml:space="preserve">RI-15: Duplicate beneficiaries not blocked</t>
  </si>
  <si>
    <t xml:space="preserve">SDC-15</t>
  </si>
  <si>
    <t xml:space="preserve">1. Add a beneficiary (50%)
2. Add a second with the SAME name, DOB and relationship</t>
  </si>
  <si>
    <t xml:space="preserve">The duplicate is refused with a duplicate message and only one row remains</t>
  </si>
  <si>
    <t xml:space="preserve">TC-BEN-V09</t>
  </si>
  <si>
    <t xml:space="preserve">Removing a beneficiary updates running allocation total</t>
  </si>
  <si>
    <t xml:space="preserve">BEN-V09</t>
  </si>
  <si>
    <t xml:space="preserve">R28</t>
  </si>
  <si>
    <t xml:space="preserve">1. Add two primary beneficiaries (60% and 40%)
2. Remove the first</t>
  </si>
  <si>
    <t xml:space="preserve">Row count drops from 2 to 1; where the page shows a running total it becomes 40</t>
  </si>
  <si>
    <t xml:space="preserve">TC-BEN-V10</t>
  </si>
  <si>
    <t xml:space="preserve">At least one primary beneficiary is mandatory</t>
  </si>
  <si>
    <t xml:space="preserve">BEN-V10</t>
  </si>
  <si>
    <t xml:space="preserve">1. Click Next with no beneficiaries
2. Add only a SECONDARY beneficiary and click Next</t>
  </si>
  <si>
    <t xml:space="preserve">Progression is blocked in both cases</t>
  </si>
  <si>
    <t xml:space="preserve">TC-BEN-V11</t>
  </si>
  <si>
    <t xml:space="preserve">Irrevocable beneficiary triggers legal confirmation dialog</t>
  </si>
  <si>
    <t xml:space="preserve">BEN-V11</t>
  </si>
  <si>
    <t xml:space="preserve">1. Fill a beneficiary and tick irrevocable
2. Save</t>
  </si>
  <si>
    <t xml:space="preserve">A native browser confirm() dialog mentioning the irrevocable designation appears; accepting it saves the beneficiary</t>
  </si>
  <si>
    <t xml:space="preserve">TC-DOC-V01</t>
  </si>
  <si>
    <t xml:space="preserve">Valid KYC document (PDF/JPG/PNG) uploads successfully</t>
  </si>
  <si>
    <t xml:space="preserve">DOC-V01</t>
  </si>
  <si>
    <t xml:space="preserve">Valid agent (AGENT_VALID) signed in via saved session; environment reachable; NEW application open at the documents step with every earlier step completed using valid data</t>
  </si>
  <si>
    <t xml:space="preserve">1. Upload a valid PDF
2. Upload a valid JPG
3. Upload a valid PNG</t>
  </si>
  <si>
    <t xml:space="preserve">In-memory files (utils/files.js)</t>
  </si>
  <si>
    <t xml:space="preserve">Each upload is accepted: no error is shown and an uploaded-document entry is present</t>
  </si>
  <si>
    <t xml:space="preserve">tests/ui/documents.spec.js</t>
  </si>
  <si>
    <t xml:space="preserve">@regression @document @p2 @smoke</t>
  </si>
  <si>
    <t xml:space="preserve">TC-DOC-V02</t>
  </si>
  <si>
    <t xml:space="preserve">Unsupported file type rejected</t>
  </si>
  <si>
    <t xml:space="preserve">DOC-V02</t>
  </si>
  <si>
    <t xml:space="preserve">1. Upload an .exe file
2. Upload a .txt file</t>
  </si>
  <si>
    <t xml:space="preserve">Each is rejected with a file-type message and no uploaded entry is created</t>
  </si>
  <si>
    <t xml:space="preserve">@regression @document @p2 @api</t>
  </si>
  <si>
    <t xml:space="preserve">TC-DOC-V03</t>
  </si>
  <si>
    <t xml:space="preserve">File above maximum size rejected</t>
  </si>
  <si>
    <t xml:space="preserve">DOC-V03</t>
  </si>
  <si>
    <t xml:space="preserve">1. Upload a PDF of (maximum + 1) MB</t>
  </si>
  <si>
    <t xml:space="preserve">MAX_UPLOAD_MB</t>
  </si>
  <si>
    <t xml:space="preserve">Rejected with a file-size message</t>
  </si>
  <si>
    <t xml:space="preserve">MAX_UPLOAD_MB defaults to the confirmed 5 MB</t>
  </si>
  <si>
    <t xml:space="preserve">@regression @document @p2</t>
  </si>
  <si>
    <t xml:space="preserve">TC-DOC-V04</t>
  </si>
  <si>
    <t xml:space="preserve">Missing mandatory document blocks submission</t>
  </si>
  <si>
    <t xml:space="preserve">DOC-V04</t>
  </si>
  <si>
    <t xml:space="preserve">R29</t>
  </si>
  <si>
    <t xml:space="preserve">RI-06: Mandatory KYC documents not enforced</t>
  </si>
  <si>
    <t xml:space="preserve">SDC-06</t>
  </si>
  <si>
    <t xml:space="preserve">1. Do NOT upload any document
2. Click Next
3. If the review step is reached, try to submit</t>
  </si>
  <si>
    <t xml:space="preserve">Either Next is blocked with a document message, or the review step cannot be submitted and no reference number is issued</t>
  </si>
  <si>
    <t xml:space="preserve">@regression @document @p1 @release-gate @seeded @api</t>
  </si>
  <si>
    <t xml:space="preserve">TC-VAL-V01</t>
  </si>
  <si>
    <t xml:space="preserve">Validation summary lists all unresolved errors, grouped</t>
  </si>
  <si>
    <t xml:space="preserve">VAL-V01</t>
  </si>
  <si>
    <t xml:space="preserve">R32</t>
  </si>
  <si>
    <t xml:space="preserve">Valid agent (AGENT_VALID) signed in via saved session; environment reachable; review step reached with the mandatory documents missing</t>
  </si>
  <si>
    <t xml:space="preserve">1. Reach the review step without documents
2. Read the validation summary</t>
  </si>
  <si>
    <t xml:space="preserve">The summary shows at least one item and one refers to documents</t>
  </si>
  <si>
    <t xml:space="preserve">Skips if the app does not allow reaching review with errors</t>
  </si>
  <si>
    <t xml:space="preserve">@regression @validation @p2</t>
  </si>
  <si>
    <t xml:space="preserve">TC-VAL-V02</t>
  </si>
  <si>
    <t xml:space="preserve">Clicking a summary item navigates to the field/section</t>
  </si>
  <si>
    <t xml:space="preserve">VAL-V02</t>
  </si>
  <si>
    <t xml:space="preserve">Valid agent (AGENT_VALID) signed in via saved session; environment reachable; review step reached with errors</t>
  </si>
  <si>
    <t xml:space="preserve">1. Click the first validation summary item</t>
  </si>
  <si>
    <t xml:space="preserve">The browser moves to the section that owns the error (step title or URL changes)</t>
  </si>
  <si>
    <t xml:space="preserve">@regression @validation @p3</t>
  </si>
  <si>
    <t xml:space="preserve">AC-01</t>
  </si>
  <si>
    <t xml:space="preserve">TC-VAL-V03</t>
  </si>
  <si>
    <t xml:space="preserve">Submit stays disabled until critical errors are resolved</t>
  </si>
  <si>
    <t xml:space="preserve">VAL-V03</t>
  </si>
  <si>
    <t xml:space="preserve">R31</t>
  </si>
  <si>
    <t xml:space="preserve">RI-17: Submit enabled despite validation errors</t>
  </si>
  <si>
    <t xml:space="preserve">SDC-17</t>
  </si>
  <si>
    <t xml:space="preserve">1. Confirm Submit is disabled
2. Resolve the error (upload documents)
3. Return to review</t>
  </si>
  <si>
    <t xml:space="preserve">Submit is disabled while errors exist and enabled once they are resolved</t>
  </si>
  <si>
    <t xml:space="preserve">@regression @validation @p1 @release-gate @seeded</t>
  </si>
  <si>
    <t xml:space="preserve">TC-WF-V01</t>
  </si>
  <si>
    <t xml:space="preserve">Partial application saved as draft; draft row on dashboard</t>
  </si>
  <si>
    <t xml:space="preserve">WF-V01</t>
  </si>
  <si>
    <t xml:space="preserve">R33</t>
  </si>
  <si>
    <t xml:space="preserve">1. Start a new application
2. Complete the client step and move on
3. Save draft on the address step
4. Open the dashboard</t>
  </si>
  <si>
    <t xml:space="preserve">A row with status Draft exists on the dashboard</t>
  </si>
  <si>
    <t xml:space="preserve">tests/e2e/workflow.spec.js</t>
  </si>
  <si>
    <t xml:space="preserve">@regression @workflow @p1 @smoke @release-gate @seeded</t>
  </si>
  <si>
    <t xml:space="preserve">AD-01, AD-04, AD-06, AD-10</t>
  </si>
  <si>
    <t xml:space="preserve">TC-WF-V02</t>
  </si>
  <si>
    <t xml:space="preserve">Draft resumed with previously saved data intact</t>
  </si>
  <si>
    <t xml:space="preserve">WF-V02</t>
  </si>
  <si>
    <t xml:space="preserve">R09, R33</t>
  </si>
  <si>
    <t xml:space="preserve">1. Start a new application and fill the client step
2. Save draft
3. Go to the dashboard and resume the draft
4. Return to the client step</t>
  </si>
  <si>
    <t xml:space="preserve">First name, last name and date of birth equal the saved values</t>
  </si>
  <si>
    <t xml:space="preserve">@regression @workflow @p2 @seeded</t>
  </si>
  <si>
    <t xml:space="preserve">TC-WF-V03</t>
  </si>
  <si>
    <t xml:space="preserve">Full E2E: valid application submitted; reference number shown</t>
  </si>
  <si>
    <t xml:space="preserve">WF-V03</t>
  </si>
  <si>
    <t xml:space="preserve">R34</t>
  </si>
  <si>
    <t xml:space="preserve">E2E</t>
  </si>
  <si>
    <t xml:space="preserve">1. Log in
2. Start a new application
3. Complete every step with valid data
4. Submit on the review step</t>
  </si>
  <si>
    <t xml:space="preserve">A non-empty reference number is displayed</t>
  </si>
  <si>
    <t xml:space="preserve">Screenshot (review + confirmation) attached on pass and fail</t>
  </si>
  <si>
    <t xml:space="preserve">@regression @workflow @p1 @smoke @release-gate @e2e @api</t>
  </si>
  <si>
    <t xml:space="preserve">AD-01, AD-02, AD-05, AD-06, AD-09</t>
  </si>
  <si>
    <t xml:space="preserve">TC-WF-V04</t>
  </si>
  <si>
    <t xml:space="preserve">Submitted application is read-only</t>
  </si>
  <si>
    <t xml:space="preserve">WF-V04</t>
  </si>
  <si>
    <t xml:space="preserve">R36</t>
  </si>
  <si>
    <t xml:space="preserve">1. Complete and submit an application
2. Inspect the page for editable controls</t>
  </si>
  <si>
    <t xml:space="preserve">No editable input remains and the submit control is gone or disabled</t>
  </si>
  <si>
    <t xml:space="preserve">@regression @workflow @p2</t>
  </si>
  <si>
    <t xml:space="preserve">TC-WF-V05</t>
  </si>
  <si>
    <t xml:space="preserve">Confirmation / status message shown after submission</t>
  </si>
  <si>
    <t xml:space="preserve">WF-V05</t>
  </si>
  <si>
    <t xml:space="preserve">1. Complete and submit an application</t>
  </si>
  <si>
    <t xml:space="preserve">A confirmation message matching the submitted pattern is displayed</t>
  </si>
  <si>
    <t xml:space="preserve">@regression @workflow @p3</t>
  </si>
  <si>
    <t xml:space="preserve">TC-WF-V06</t>
  </si>
  <si>
    <t xml:space="preserve">Dashboard status becomes Submitted after submission</t>
  </si>
  <si>
    <t xml:space="preserve">WF-V06</t>
  </si>
  <si>
    <t xml:space="preserve">R07, R34</t>
  </si>
  <si>
    <t xml:space="preserve">1. Complete and submit an application
2. Open the dashboard
3. Find the application row</t>
  </si>
  <si>
    <t xml:space="preserve">The application row shows status Submitted</t>
  </si>
  <si>
    <t xml:space="preserve">@regression @workflow @p1 @release-gate @seeded @e2e @api</t>
  </si>
  <si>
    <t xml:space="preserve">TC-WF-V07</t>
  </si>
  <si>
    <t xml:space="preserve">Application detail status matches Status API</t>
  </si>
  <si>
    <t xml:space="preserve">WF-V07</t>
  </si>
  <si>
    <t xml:space="preserve">1. Submit an application and read the status on the page
2. Call GET /applications/{id}/status</t>
  </si>
  <si>
    <t xml:space="preserve">UI status text equals the API status</t>
  </si>
  <si>
    <t xml:space="preserve">Skips if the application id cannot be read from the URL</t>
  </si>
  <si>
    <t xml:space="preserve">@regression @workflow @p2 @seeded @api</t>
  </si>
  <si>
    <t xml:space="preserve">TC-WF-V08</t>
  </si>
  <si>
    <t xml:space="preserve">Review page reflects the entered client, product and beneficiary data</t>
  </si>
  <si>
    <t xml:space="preserve">WF-V08</t>
  </si>
  <si>
    <t xml:space="preserve">R19</t>
  </si>
  <si>
    <t xml:space="preserve">1. Complete every step with valid data
2. Open the review step
3. Read the review text</t>
  </si>
  <si>
    <t xml:space="preserve">Review shows the client name, the beneficiary name and a premium equal to the configured premium</t>
  </si>
  <si>
    <t xml:space="preserve">Screenshot of review attached on pass and fail</t>
  </si>
  <si>
    <t xml:space="preserve">@regression @workflow @p2 @smoke</t>
  </si>
  <si>
    <t xml:space="preserve">AD-01, AD-02, AD-09</t>
  </si>
  <si>
    <t xml:space="preserve">TC-API-V01</t>
  </si>
  <si>
    <t xml:space="preserve">Products API returns 200 and expected schema</t>
  </si>
  <si>
    <t xml:space="preserve">API-V01</t>
  </si>
  <si>
    <t xml:space="preserve">R37</t>
  </si>
  <si>
    <t xml:space="preserve">API</t>
  </si>
  <si>
    <t xml:space="preserve">Valid agent authenticated through POST /auth/login</t>
  </si>
  <si>
    <t xml:space="preserve">1. GET /products</t>
  </si>
  <si>
    <t xml:space="preserve">200, JSON, non-empty list; each product has an id and a name</t>
  </si>
  <si>
    <t xml:space="preserve">Response status/body attached</t>
  </si>
  <si>
    <t xml:space="preserve">tests/api/applications.api.spec.js</t>
  </si>
  <si>
    <t xml:space="preserve">@regression @api @p2 @smoke</t>
  </si>
  <si>
    <t xml:space="preserve">AD-03, AD-11</t>
  </si>
  <si>
    <t xml:space="preserve">TC-API-V02</t>
  </si>
  <si>
    <t xml:space="preserve">Applications API requires authorization (401/403)</t>
  </si>
  <si>
    <t xml:space="preserve">API-V02</t>
  </si>
  <si>
    <t xml:space="preserve">API Security</t>
  </si>
  <si>
    <t xml:space="preserve">No token / no session</t>
  </si>
  <si>
    <t xml:space="preserve">1. GET /applications without credentials</t>
  </si>
  <si>
    <t xml:space="preserve">401 or 403; no application data in the body</t>
  </si>
  <si>
    <t xml:space="preserve">@regression @api @p1 @smoke @release-gate</t>
  </si>
  <si>
    <t xml:space="preserve">TC-API-V03</t>
  </si>
  <si>
    <t xml:space="preserve">Client API rejects future / underage DOB</t>
  </si>
  <si>
    <t xml:space="preserve">API-V03</t>
  </si>
  <si>
    <t xml:space="preserve">RI-05: Future date of birth accepted
RI-19: API validation differs from UI validation</t>
  </si>
  <si>
    <t xml:space="preserve">SDC-05, SDC-19</t>
  </si>
  <si>
    <t xml:space="preserve">API Negative</t>
  </si>
  <si>
    <t xml:space="preserve">Authenticated agent; a DISPOSABLE draft application id (created via API or taken from the first draft)</t>
  </si>
  <si>
    <t xml:space="preserve">1. POST /applications/{id}/client with DOB tomorrow
2. POST with DOB of an age-17 person</t>
  </si>
  <si>
    <t xml:space="preserve">Both are rejected with a 4xx validation response</t>
  </si>
  <si>
    <t xml:space="preserve">Needs a draft application id (Q21)</t>
  </si>
  <si>
    <t xml:space="preserve">Q21</t>
  </si>
  <si>
    <t xml:space="preserve">@regression @api @p2 @seeded</t>
  </si>
  <si>
    <t xml:space="preserve">TC-API-V04</t>
  </si>
  <si>
    <t xml:space="preserve">Validate API returns beneficiary allocation error</t>
  </si>
  <si>
    <t xml:space="preserve">API-V04</t>
  </si>
  <si>
    <t xml:space="preserve">RI-13: Allocation below / above 100% allowed
RI-19: API validation differs from UI validation</t>
  </si>
  <si>
    <t xml:space="preserve">SDC-13, SDC-19</t>
  </si>
  <si>
    <t xml:space="preserve">Authenticated agent; DISPOSABLE draft application id</t>
  </si>
  <si>
    <t xml:space="preserve">1. POST /applications/{id}/beneficiaries with a single 60% primary
2. POST /applications/{id}/validate</t>
  </si>
  <si>
    <t xml:space="preserve">The validation result contains an allocation error</t>
  </si>
  <si>
    <t xml:space="preserve">TC-API-V05</t>
  </si>
  <si>
    <t xml:space="preserve">Submit API rejects incomplete application</t>
  </si>
  <si>
    <t xml:space="preserve">API-V05</t>
  </si>
  <si>
    <t xml:space="preserve">R29, R35</t>
  </si>
  <si>
    <t xml:space="preserve">API + DB</t>
  </si>
  <si>
    <t xml:space="preserve">Authenticated agent; a draft application that is INCOMPLETE</t>
  </si>
  <si>
    <t xml:space="preserve">1. POST /applications/{id}/submit</t>
  </si>
  <si>
    <t xml:space="preserve">4xx response; no reference number in the body</t>
  </si>
  <si>
    <t xml:space="preserve">@regression @api @p1 @release-gate @seeded</t>
  </si>
  <si>
    <t xml:space="preserve">TC-API-V06</t>
  </si>
  <si>
    <t xml:space="preserve">Status API matches the applications list</t>
  </si>
  <si>
    <t xml:space="preserve">API-V06</t>
  </si>
  <si>
    <t xml:space="preserve">1. GET /applications
2. For up to 5 items GET /applications/{id}/status
3. Compare status</t>
  </si>
  <si>
    <t xml:space="preserve">List status equals status-endpoint status for each application</t>
  </si>
  <si>
    <t xml:space="preserve">TC-API-V07</t>
  </si>
  <si>
    <t xml:space="preserve">Product detail API matches UI detail page</t>
  </si>
  <si>
    <t xml:space="preserve">API-V07</t>
  </si>
  <si>
    <t xml:space="preserve">RI-19: API validation differs from UI validation</t>
  </si>
  <si>
    <t xml:space="preserve">SDC-19</t>
  </si>
  <si>
    <t xml:space="preserve">1. Read the first product name on the UI
2. GET /products and find the same product
3. GET /products/{id}</t>
  </si>
  <si>
    <t xml:space="preserve">The API product name appears in the UI product card text</t>
  </si>
  <si>
    <t xml:space="preserve">Needs product ids in the API response</t>
  </si>
  <si>
    <t xml:space="preserve">TC-API-V08</t>
  </si>
  <si>
    <t xml:space="preserve">Applications API returns only logged-in agent records</t>
  </si>
  <si>
    <t xml:space="preserve">API-V08</t>
  </si>
  <si>
    <t xml:space="preserve">Two seeded agents (AGENT_VALID, AGENT_SECOND)</t>
  </si>
  <si>
    <t xml:space="preserve">1. GET /applications as agent A
2. GET /applications as agent B
3. Compare ids</t>
  </si>
  <si>
    <t xml:space="preserve">The id sets are disjoint</t>
  </si>
  <si>
    <t xml:space="preserve">@regression @api @p2</t>
  </si>
  <si>
    <t xml:space="preserve">AD-03, AD-11, AC-02</t>
  </si>
  <si>
    <t xml:space="preserve">TC-API-V09</t>
  </si>
  <si>
    <t xml:space="preserve">Riders API schema, eligibility and dependency rules</t>
  </si>
  <si>
    <t xml:space="preserve">API-V09</t>
  </si>
  <si>
    <t xml:space="preserve">1. GET /riders</t>
  </si>
  <si>
    <t xml:space="preserve">200, JSON, non-empty list; each rider has an id and a name</t>
  </si>
  <si>
    <t xml:space="preserve">TC-API-V10</t>
  </si>
  <si>
    <t xml:space="preserve">Documents API rejects invalid type and oversized file</t>
  </si>
  <si>
    <t xml:space="preserve">API-V10</t>
  </si>
  <si>
    <t xml:space="preserve">1. POST /applications/{id}/documents with an .exe
2. POST with an oversize PDF</t>
  </si>
  <si>
    <t xml:space="preserve">Both are rejected with 4xx</t>
  </si>
  <si>
    <t xml:space="preserve">Needs a draft application id; oversize part needs MAX_UPLOAD_MB</t>
  </si>
  <si>
    <t xml:space="preserve">TC-API-V11</t>
  </si>
  <si>
    <t xml:space="preserve">Status API returns history and timestamps</t>
  </si>
  <si>
    <t xml:space="preserve">API-V11</t>
  </si>
  <si>
    <t xml:space="preserve">1. GET /applications
2. GET /applications/{id}/status for the first application</t>
  </si>
  <si>
    <t xml:space="preserve">200 and a status value; where a history is returned each entry has a timestamp</t>
  </si>
  <si>
    <t xml:space="preserve">TC-API-V12</t>
  </si>
  <si>
    <t xml:space="preserve">UI/API validation parity for the same invalid input</t>
  </si>
  <si>
    <t xml:space="preserve">API-V12</t>
  </si>
  <si>
    <t xml:space="preserve">RI-19: API validation differs from UI validation
RI-05: Future date of birth accepted</t>
  </si>
  <si>
    <t xml:space="preserve">SDC-19, SDC-05</t>
  </si>
  <si>
    <t xml:space="preserve">1. Enter a future DOB in the UI and click Next
2. Send the same DOB to POST /applications/{id}/client</t>
  </si>
  <si>
    <t xml:space="preserve">Both the UI and the API reject the future DOB</t>
  </si>
  <si>
    <t xml:space="preserve">Needs the application id from the URL</t>
  </si>
  <si>
    <t xml:space="preserve">TC-DB-01</t>
  </si>
  <si>
    <t xml:space="preserve">Draft row exists with fields entered so far; resume matches stored data</t>
  </si>
  <si>
    <t xml:space="preserve">DB-01</t>
  </si>
  <si>
    <t xml:space="preserve">DB</t>
  </si>
  <si>
    <t xml:space="preserve">R33, R41</t>
  </si>
  <si>
    <t xml:space="preserve">Database</t>
  </si>
  <si>
    <t xml:space="preserve">Read-only database access granted (Q04); schema / data dictionary shared</t>
  </si>
  <si>
    <t xml:space="preserve">1. Run the UI or API scenario that creates the data
2. Run the read-only validation query for this check
3. Compare the result with the UI/API value</t>
  </si>
  <si>
    <t xml:space="preserve">Linked scenario(s): WF-V01, WF-V02</t>
  </si>
  <si>
    <t xml:space="preserve">Query result matches the UI/API outcome (see the illustrative query pattern in Submission 1, section 3.4)</t>
  </si>
  <si>
    <t xml:space="preserve">Query text + result attached to the report</t>
  </si>
  <si>
    <t xml:space="preserve">Q04</t>
  </si>
  <si>
    <t xml:space="preserve">No database engine, schema or credentials supplied (Submission 1 question Q04 / dependency D06). API-read proxy is used where the linked API scenario exists.</t>
  </si>
  <si>
    <t xml:space="preserve">@regression @database @p2</t>
  </si>
  <si>
    <t xml:space="preserve">Not automated</t>
  </si>
  <si>
    <t xml:space="preserve">TC-DB-02</t>
  </si>
  <si>
    <t xml:space="preserve">Submitted application has unique reference number and status = Submitted</t>
  </si>
  <si>
    <t xml:space="preserve">DB-02</t>
  </si>
  <si>
    <t xml:space="preserve">R34, R41</t>
  </si>
  <si>
    <t xml:space="preserve">Linked scenario(s): WF-V03, WF-V06</t>
  </si>
  <si>
    <t xml:space="preserve">TC-DB-03</t>
  </si>
  <si>
    <t xml:space="preserve">Status history has a new timestamped entry for each transition</t>
  </si>
  <si>
    <t xml:space="preserve">DB-03</t>
  </si>
  <si>
    <t xml:space="preserve">R07, R41</t>
  </si>
  <si>
    <t xml:space="preserve">Linked scenario(s): API-V11</t>
  </si>
  <si>
    <t xml:space="preserve">TC-DB-04</t>
  </si>
  <si>
    <t xml:space="preserve">Primary / secondary allocations each sum to 100; no duplicate Name+DOB+Relationship</t>
  </si>
  <si>
    <t xml:space="preserve">DB-04</t>
  </si>
  <si>
    <t xml:space="preserve">R24, R41</t>
  </si>
  <si>
    <t xml:space="preserve">Linked scenario(s): BEN-V02..V09</t>
  </si>
  <si>
    <t xml:space="preserve">TC-DB-05</t>
  </si>
  <si>
    <t xml:space="preserve">Minor beneficiary has a linked guardian record</t>
  </si>
  <si>
    <t xml:space="preserve">DB-05</t>
  </si>
  <si>
    <t xml:space="preserve">R25, R41</t>
  </si>
  <si>
    <t xml:space="preserve">Linked scenario(s): BEN-V05</t>
  </si>
  <si>
    <t xml:space="preserve">TC-DB-06</t>
  </si>
  <si>
    <t xml:space="preserve">Stored premium equals the premium on the review page, including itemized riders</t>
  </si>
  <si>
    <t xml:space="preserve">DB-06</t>
  </si>
  <si>
    <t xml:space="preserve">R19, R41</t>
  </si>
  <si>
    <t xml:space="preserve">Linked scenario(s): PROD-V06, RIDER-V07</t>
  </si>
  <si>
    <t xml:space="preserve">TC-DB-07</t>
  </si>
  <si>
    <t xml:space="preserve">SSN is not stored or logged in clear text</t>
  </si>
  <si>
    <t xml:space="preserve">DB-07</t>
  </si>
  <si>
    <t xml:space="preserve">R12, R41</t>
  </si>
  <si>
    <t xml:space="preserve">Linked scenario(s): CLI-V08</t>
  </si>
  <si>
    <t xml:space="preserve">TC-DB-08</t>
  </si>
  <si>
    <t xml:space="preserve">Document records exist with status for each mandatory document</t>
  </si>
  <si>
    <t xml:space="preserve">DB-08</t>
  </si>
  <si>
    <t xml:space="preserve">R29, R41</t>
  </si>
  <si>
    <t xml:space="preserve">Linked scenario(s): DOC-V01, DOC-V04</t>
  </si>
  <si>
    <t xml:space="preserve">TC-DB-09</t>
  </si>
  <si>
    <t xml:space="preserve">Application rows are keyed to the owning agent</t>
  </si>
  <si>
    <t xml:space="preserve">DB-09</t>
  </si>
  <si>
    <t xml:space="preserve">R08, R41</t>
  </si>
  <si>
    <t xml:space="preserve">Linked scenario(s): DASH-V02, API-V08</t>
  </si>
  <si>
    <t xml:space="preserve">TC-DB-10</t>
  </si>
  <si>
    <t xml:space="preserve">Failed-attempt counter and lock state update at the fifth failed login</t>
  </si>
  <si>
    <t xml:space="preserve">DB-10</t>
  </si>
  <si>
    <t xml:space="preserve">R03, R41</t>
  </si>
  <si>
    <t xml:space="preserve">Linked scenario(s): AUTH-V07</t>
  </si>
  <si>
    <t xml:space="preserve">TC-FW-01</t>
  </si>
  <si>
    <t xml:space="preserve">Evidence: diagnostics, screenshots, traces and videos are configured for debugging</t>
  </si>
  <si>
    <t xml:space="preserve">FW-01</t>
  </si>
  <si>
    <t xml:space="preserve">FW</t>
  </si>
  <si>
    <t xml:space="preserve">R38</t>
  </si>
  <si>
    <t xml:space="preserve">RI-20: Failures hard to debug (no consistent evidence)</t>
  </si>
  <si>
    <t xml:space="preserve">Framework</t>
  </si>
  <si>
    <t xml:space="preserve">None - runs without the application</t>
  </si>
  <si>
    <t xml:space="preserve">1. Load playwright.config.js
2. Assert screenshot, video, trace, HTML/JSON/JUnit reporters are enabled
3. Assert the diagnostics fixture is registered as an automatic fixture</t>
  </si>
  <si>
    <t xml:space="preserve">All evidence settings are present</t>
  </si>
  <si>
    <t xml:space="preserve">Unit test output</t>
  </si>
  <si>
    <t xml:space="preserve">tests/unit/framework.spec.js</t>
  </si>
  <si>
    <t xml:space="preserve">@regression @framework @p2 @seeded</t>
  </si>
  <si>
    <t xml:space="preserve">TC-FW-02</t>
  </si>
  <si>
    <t xml:space="preserve">Environment: configuration is externalised and the health check classifies failures</t>
  </si>
  <si>
    <t xml:space="preserve">FW-02</t>
  </si>
  <si>
    <t xml:space="preserve">R39</t>
  </si>
  <si>
    <t xml:space="preserve">1. Scan the repository for hard-coded URLs, IPs and credentials outside config / .env.example
2. Check the health-check classifier maps timeouts and 5xx to ENVIRONMENT</t>
  </si>
  <si>
    <t xml:space="preserve">No hard-coded base URL, IP address or password outside the config layer; failures are classified as ENVIRONMENT vs APPLICATION</t>
  </si>
  <si>
    <t xml:space="preserve">@regression @framework @p2</t>
  </si>
  <si>
    <t xml:space="preserve">TC-FW-03</t>
  </si>
  <si>
    <t xml:space="preserve">Test data: builders are unique per call and date boundaries are calculated correctly</t>
  </si>
  <si>
    <t xml:space="preserve">FW-03</t>
  </si>
  <si>
    <t xml:space="preserve">R40</t>
  </si>
  <si>
    <t xml:space="preserve">1. Generate 500 clients and beneficiaries and check name uniqueness
2. Check dobForAge / calcAge for ages 17/18/65/66, leap years and the day-before/after birthday</t>
  </si>
  <si>
    <t xml:space="preserve">No duplicates; boundary dates produce exactly the intended ages</t>
  </si>
  <si>
    <t xml:space="preserve">TC-FW-04</t>
  </si>
  <si>
    <t xml:space="preserve">Traceability: every automated test maps to a case; every case maps to a risk</t>
  </si>
  <si>
    <t xml:space="preserve">FW-04</t>
  </si>
  <si>
    <t xml:space="preserve">1. Load the case registry and the risk register
2. Check each non-framework case links to at least one risk
3. Check reported issues RI-01..RI-20 each link to at least one case</t>
  </si>
  <si>
    <t xml:space="preserve">No orphan cases, risks or reported issues</t>
  </si>
  <si>
    <t xml:space="preserve">Release Gate (P1) - the scenarios that MUST pass for a release</t>
  </si>
  <si>
    <t xml:space="preserve">Submission 1 rated 52 of 105 scenarios P1. P1 is now limited to these. Everything else is regression (P2) or P3. Run: npm run test:gate</t>
  </si>
  <si>
    <t xml:space="preserve">Why a failure blocks the release</t>
  </si>
  <si>
    <t xml:space="preserve">Linked Risks</t>
  </si>
  <si>
    <t xml:space="preserve">If valid agents cannot sign in, nothing else is usable.</t>
  </si>
  <si>
    <t xml:space="preserve">Protected pages must not be reachable without a session.</t>
  </si>
  <si>
    <t xml:space="preserve">Locked agents must stay locked out, with the correct message.</t>
  </si>
  <si>
    <t xml:space="preserve">An agent must never see another agent's applications (confidentiality).</t>
  </si>
  <si>
    <t xml:space="preserve">A future date of birth would create an invalid policy.</t>
  </si>
  <si>
    <t xml:space="preserve">Unmasked SSN is a compliance / privacy breach.</t>
  </si>
  <si>
    <t xml:space="preserve">Agents cannot sell if the product catalogue does not load.</t>
  </si>
  <si>
    <t xml:space="preserve">Wrong premium after a configuration change misprices the policy.</t>
  </si>
  <si>
    <t xml:space="preserve">Premium on review must equal what the agent configured.</t>
  </si>
  <si>
    <t xml:space="preserve">Rider cover above the base face value is an invalid coverage.</t>
  </si>
  <si>
    <t xml:space="preserve">Allocations must total 100% or payouts are disputed.</t>
  </si>
  <si>
    <t xml:space="preserve">A minor beneficiary without a guardian is a legal gap.</t>
  </si>
  <si>
    <t xml:space="preserve">Missing mandatory KYC documents must block submission (compliance).</t>
  </si>
  <si>
    <t xml:space="preserve">Submit must be blocked while validation errors exist.</t>
  </si>
  <si>
    <t xml:space="preserve">Agents must not lose work: drafts must save.</t>
  </si>
  <si>
    <t xml:space="preserve">The core journey must complete and return a reference number.</t>
  </si>
  <si>
    <t xml:space="preserve">Dashboard status must reflect the submission.</t>
  </si>
  <si>
    <t xml:space="preserve">The API must refuse unauthenticated calls.</t>
  </si>
  <si>
    <t xml:space="preserve">The submit API must refuse incomplete applications.</t>
  </si>
  <si>
    <t xml:space="preserve">Gate size</t>
  </si>
  <si>
    <t xml:space="preserve">Target</t>
  </si>
  <si>
    <t xml:space="preserve">15 to 20 scenarios</t>
  </si>
  <si>
    <t xml:space="preserve">Within target?</t>
  </si>
  <si>
    <t xml:space="preserve">Traceability: Submission 1 risk register (R01-R41) to test cases</t>
  </si>
  <si>
    <t xml:space="preserve">Linked test cases are counted by formula from the Test Cases sheet.</t>
  </si>
  <si>
    <t xml:space="preserve">Risk ID</t>
  </si>
  <si>
    <t xml:space="preserve">Risk</t>
  </si>
  <si>
    <t xml:space="preserve">Likelihood</t>
  </si>
  <si>
    <t xml:space="preserve">Impact</t>
  </si>
  <si>
    <t xml:space="preserve">Rating</t>
  </si>
  <si>
    <t xml:space="preserve">Covered by (Submission 1)</t>
  </si>
  <si>
    <t xml:space="preserve">Linked Test Cases</t>
  </si>
  <si>
    <t xml:space="preserve"># Test Cases</t>
  </si>
  <si>
    <t xml:space="preserve">Authentication</t>
  </si>
  <si>
    <t xml:space="preserve">Valid agents cannot log in after authentication changes</t>
  </si>
  <si>
    <t xml:space="preserve">TC-AUTH-V01, TC-AUTH-V09, TC-AUTH-V14</t>
  </si>
  <si>
    <t xml:space="preserve">Locked or invalid users see incorrect or misleading messages</t>
  </si>
  <si>
    <t xml:space="preserve">AUTH-V02, V06</t>
  </si>
  <si>
    <t xml:space="preserve">TC-AUTH-V02, TC-AUTH-V03, TC-AUTH-V06</t>
  </si>
  <si>
    <t xml:space="preserve">API/DB</t>
  </si>
  <si>
    <t xml:space="preserve">Lockout after five failures not enforced server-side or counter not stored</t>
  </si>
  <si>
    <t xml:space="preserve">AUTH-V07, DB-10</t>
  </si>
  <si>
    <t xml:space="preserve">TC-AUTH-V07, TC-DB-10</t>
  </si>
  <si>
    <t xml:space="preserve">Protected pages or endpoints reachable without authentication</t>
  </si>
  <si>
    <t xml:space="preserve">AUTH-V05, API-V02</t>
  </si>
  <si>
    <t xml:space="preserve">TC-AUTH-V05, TC-API-V02</t>
  </si>
  <si>
    <t xml:space="preserve">UI/API</t>
  </si>
  <si>
    <t xml:space="preserve">Session not cleared on logout; no session timeout</t>
  </si>
  <si>
    <t xml:space="preserve">AUTH-V04, AUTH-V10</t>
  </si>
  <si>
    <t xml:space="preserve">TC-AUTH-V04, TC-AUTH-V10</t>
  </si>
  <si>
    <t xml:space="preserve">Password policy inconsistently enforced</t>
  </si>
  <si>
    <t xml:space="preserve">TC-AUTH-V08, TC-AUTH-V11, TC-AUTH-V12, TC-AUTH-V13</t>
  </si>
  <si>
    <t xml:space="preserve">Dashboard</t>
  </si>
  <si>
    <t xml:space="preserve">UI/API/DB</t>
  </si>
  <si>
    <t xml:space="preserve">Dashboard status differs from backend status</t>
  </si>
  <si>
    <t xml:space="preserve">DASH-V06, API-V06, DB-03</t>
  </si>
  <si>
    <t xml:space="preserve">TC-DASH-V01, TC-DASH-V03, TC-DASH-V05, TC-DASH-V06, TC-DASH-V07, TC-WF-V06, TC-WF-V07, TC-API-V06, TC-DB-03</t>
  </si>
  <si>
    <t xml:space="preserve">Agent sees another agent's applications</t>
  </si>
  <si>
    <t xml:space="preserve">DASH-V02, API-V08, DB-09</t>
  </si>
  <si>
    <t xml:space="preserve">TC-DASH-V02, TC-API-V08, TC-DB-09</t>
  </si>
  <si>
    <t xml:space="preserve">Resumed draft shows missing or stale data</t>
  </si>
  <si>
    <t xml:space="preserve">DASH-V04, WF-V02</t>
  </si>
  <si>
    <t xml:space="preserve">TC-DASH-V04, TC-WF-V02</t>
  </si>
  <si>
    <t xml:space="preserve">Client / KYC</t>
  </si>
  <si>
    <t xml:space="preserve">Age eligibility (18-65) rules missed</t>
  </si>
  <si>
    <t xml:space="preserve">CLI-V03, V04</t>
  </si>
  <si>
    <t xml:space="preserve">TC-CLI-V01, TC-CLI-V02, TC-CLI-V03, TC-CLI-V04, TC-CLI-V13</t>
  </si>
  <si>
    <t xml:space="preserve">Future date of birth accepted</t>
  </si>
  <si>
    <t xml:space="preserve">CLI-V05, API-V03</t>
  </si>
  <si>
    <t xml:space="preserve">TC-CLI-V05, TC-API-V03</t>
  </si>
  <si>
    <t xml:space="preserve">UI/DB</t>
  </si>
  <si>
    <t xml:space="preserve">SSN displayed unmasked, or stored/logged in clear text</t>
  </si>
  <si>
    <t xml:space="preserve">CLI-V08, DB-07</t>
  </si>
  <si>
    <t xml:space="preserve">TC-CLI-V08, TC-DB-07</t>
  </si>
  <si>
    <t xml:space="preserve">Income vs premium affordability not applied</t>
  </si>
  <si>
    <t xml:space="preserve">PEP details not enforced; PEP not flagged</t>
  </si>
  <si>
    <t xml:space="preserve">Address copy or email/phone format errors</t>
  </si>
  <si>
    <t xml:space="preserve">CLI-V06, V07</t>
  </si>
  <si>
    <t xml:space="preserve">TC-CLI-V06, TC-CLI-V07, TC-CLI-V11, TC-CLI-V14, TC-CLI-V15</t>
  </si>
  <si>
    <t xml:space="preserve">Product / Policy</t>
  </si>
  <si>
    <t xml:space="preserve">Product eligibility not validated against age or suitability</t>
  </si>
  <si>
    <t xml:space="preserve">PROD-V07, PROD-V08</t>
  </si>
  <si>
    <t xml:space="preserve">TC-PROD-V01, TC-PROD-V02, TC-PROD-V07, TC-PROD-V08, TC-PROD-V10</t>
  </si>
  <si>
    <t xml:space="preserve">Face value min/max not enforced</t>
  </si>
  <si>
    <t xml:space="preserve">PROD-V03, V04</t>
  </si>
  <si>
    <t xml:space="preserve">TC-PROD-V03, TC-PROD-V04</t>
  </si>
  <si>
    <t xml:space="preserve">Premium not recalculated after configuration change</t>
  </si>
  <si>
    <t xml:space="preserve">PROD-V05, V06</t>
  </si>
  <si>
    <t xml:space="preserve">TC-PROD-V05, TC-PROD-V06, TC-PROD-V09, TC-PROD-V11</t>
  </si>
  <si>
    <t xml:space="preserve">Premium on review page differs from stored premium</t>
  </si>
  <si>
    <t xml:space="preserve">PROD-V06, DB-06</t>
  </si>
  <si>
    <t xml:space="preserve">TC-PROD-V06, TC-WF-V08, TC-DB-06</t>
  </si>
  <si>
    <t xml:space="preserve">Riders</t>
  </si>
  <si>
    <t xml:space="preserve">Rider coverage exceeds base face value</t>
  </si>
  <si>
    <t xml:space="preserve">Mutually exclusive waiver riders both selectable</t>
  </si>
  <si>
    <t xml:space="preserve">Age-ineligible rider or maximum count not enforced</t>
  </si>
  <si>
    <t xml:space="preserve">RIDER-V03, V04</t>
  </si>
  <si>
    <t xml:space="preserve">TC-RIDER-V03, TC-RIDER-V04, TC-RIDER-V06</t>
  </si>
  <si>
    <t xml:space="preserve">Rider premium not itemized or total not updated</t>
  </si>
  <si>
    <t xml:space="preserve">TC-RIDER-V01, TC-RIDER-V07</t>
  </si>
  <si>
    <t xml:space="preserve">Beneficiaries</t>
  </si>
  <si>
    <t xml:space="preserve">Allocation below or above 100% accepted</t>
  </si>
  <si>
    <t xml:space="preserve">BEN-V02, V03, API-V04, DB-04</t>
  </si>
  <si>
    <t xml:space="preserve">TC-BEN-V01, TC-BEN-V02, TC-BEN-V03, TC-BEN-V04, TC-BEN-V10, TC-API-V04, TC-DB-04</t>
  </si>
  <si>
    <t xml:space="preserve">Minor beneficiary saved without guardian</t>
  </si>
  <si>
    <t xml:space="preserve">BEN-V05, DB-05</t>
  </si>
  <si>
    <t xml:space="preserve">TC-BEN-V05, TC-DB-05</t>
  </si>
  <si>
    <t xml:space="preserve">Duplicate beneficiary not blocked</t>
  </si>
  <si>
    <t xml:space="preserve">Trust/Organization fields wrong; irrevocable confirmation missing</t>
  </si>
  <si>
    <t xml:space="preserve">BEN-V06, V07, BEN-V11</t>
  </si>
  <si>
    <t xml:space="preserve">TC-BEN-V06, TC-BEN-V07, TC-BEN-V11</t>
  </si>
  <si>
    <t xml:space="preserve">Removing beneficiary leaves wrong running total or stale data</t>
  </si>
  <si>
    <t xml:space="preserve">Documents / Validation</t>
  </si>
  <si>
    <t xml:space="preserve">Mandatory KYC documents not enforced before submission</t>
  </si>
  <si>
    <t xml:space="preserve">DOC-V04, API-V05, DB-08</t>
  </si>
  <si>
    <t xml:space="preserve">TC-DOC-V04, TC-API-V05, TC-DB-08</t>
  </si>
  <si>
    <t xml:space="preserve">Unsupported file type or oversize file accepted</t>
  </si>
  <si>
    <t xml:space="preserve">DOC-V02, V03, API-V10</t>
  </si>
  <si>
    <t xml:space="preserve">TC-CLI-V09, TC-DOC-V01, TC-DOC-V02, TC-DOC-V03, TC-API-V10</t>
  </si>
  <si>
    <t xml:space="preserve">Submit button enabled while validation errors exist</t>
  </si>
  <si>
    <t xml:space="preserve">Validation summary incomplete or navigation wrong</t>
  </si>
  <si>
    <t xml:space="preserve">VAL-V01, V02</t>
  </si>
  <si>
    <t xml:space="preserve">TC-VAL-V01, TC-VAL-V02</t>
  </si>
  <si>
    <t xml:space="preserve">Submission / Status</t>
  </si>
  <si>
    <t xml:space="preserve">Draft data not persisted correctly</t>
  </si>
  <si>
    <t xml:space="preserve">WF-V01, V02, DB-01</t>
  </si>
  <si>
    <t xml:space="preserve">TC-PROD-V11, TC-WF-V01, TC-WF-V02, TC-DB-01</t>
  </si>
  <si>
    <t xml:space="preserve">Wrong status transition or missing/duplicate reference number</t>
  </si>
  <si>
    <t xml:space="preserve">WF-V03, DB-02</t>
  </si>
  <si>
    <t xml:space="preserve">TC-WF-V03, TC-WF-V05, TC-WF-V06, TC-WF-V07, TC-API-V11, TC-DB-02</t>
  </si>
  <si>
    <t xml:space="preserve">R35</t>
  </si>
  <si>
    <t xml:space="preserve">Incomplete application accepted by submit API</t>
  </si>
  <si>
    <t xml:space="preserve">Submitted application remains editable</t>
  </si>
  <si>
    <t xml:space="preserve">Cross-cutting</t>
  </si>
  <si>
    <t xml:space="preserve">API validation differs from UI validation</t>
  </si>
  <si>
    <t xml:space="preserve">TC-API-V01, TC-API-V07, TC-API-V09, TC-API-V12</t>
  </si>
  <si>
    <t xml:space="preserve">Failures hard to debug (inconsistent screenshots, traces, reports)</t>
  </si>
  <si>
    <t xml:space="preserve">Environment</t>
  </si>
  <si>
    <t xml:space="preserve">Shared lab instability, SSO or network restrictions block runs</t>
  </si>
  <si>
    <t xml:space="preserve">TC-FW-02, TC-FW-04</t>
  </si>
  <si>
    <t xml:space="preserve">Test data</t>
  </si>
  <si>
    <t xml:space="preserve">Seeded data collisions or exhausted users in parallel runs</t>
  </si>
  <si>
    <t xml:space="preserve">R41</t>
  </si>
  <si>
    <t xml:space="preserve">Database access or schema not available for backend validation</t>
  </si>
  <si>
    <t xml:space="preserve">DB-01..DB-10</t>
  </si>
  <si>
    <t xml:space="preserve">TC-DB-01, TC-DB-02, TC-DB-03, TC-DB-04, TC-DB-05, TC-DB-06, TC-DB-07, TC-DB-08, TC-DB-09, TC-DB-10</t>
  </si>
  <si>
    <t xml:space="preserve">Risks with no test case</t>
  </si>
  <si>
    <t xml:space="preserve">Traceability: seeded-defect themes (20 reported issues) to test cases</t>
  </si>
  <si>
    <t xml:space="preserve">SDC = "seeded-defect-candidate" id used by the third project's tests. The official DEF-* catalogue codes have still not been received. Column D holds the SDC id where a tagged test matches the theme; RI-03, RI-09, RI-11 and RI-20 have none yet. Detection status is only set from evidence: the live runs never reached the validation rules, so almost everything is Not run.</t>
  </si>
  <si>
    <t xml:space="preserve">Reported Issue ID</t>
  </si>
  <si>
    <t xml:space="preserve">Description</t>
  </si>
  <si>
    <t xml:space="preserve">Seeded Defect Catalog Code (fill)</t>
  </si>
  <si>
    <t xml:space="preserve">Detected in run? (fill: Detected / Not detected / Not run)</t>
  </si>
  <si>
    <t xml:space="preserve">Defect Log ID (fill)</t>
  </si>
  <si>
    <t xml:space="preserve">RI-01</t>
  </si>
  <si>
    <t xml:space="preserve">Not detected</t>
  </si>
  <si>
    <t xml:space="preserve">RI-02</t>
  </si>
  <si>
    <t xml:space="preserve">Locked or invalid agents get incorrect / misleading messages</t>
  </si>
  <si>
    <t xml:space="preserve">TC-AUTH-V02, TC-AUTH-V06, TC-AUTH-V07</t>
  </si>
  <si>
    <t xml:space="preserve">Not run</t>
  </si>
  <si>
    <t xml:space="preserve">RI-03</t>
  </si>
  <si>
    <t xml:space="preserve">Password policy not consistently enforced</t>
  </si>
  <si>
    <t xml:space="preserve">TC-AUTH-V08, TC-AUTH-V13</t>
  </si>
  <si>
    <t xml:space="preserve">RI-04</t>
  </si>
  <si>
    <t xml:space="preserve">Client age eligibility rules (18-65) missed</t>
  </si>
  <si>
    <t xml:space="preserve">TC-CLI-V03, TC-CLI-V04</t>
  </si>
  <si>
    <t xml:space="preserve">RI-05</t>
  </si>
  <si>
    <t xml:space="preserve">TC-CLI-V05, TC-API-V03, TC-API-V12</t>
  </si>
  <si>
    <t xml:space="preserve">RI-06</t>
  </si>
  <si>
    <t xml:space="preserve">Mandatory KYC documents not enforced</t>
  </si>
  <si>
    <t xml:space="preserve">TC-DOC-V04, TC-API-V05</t>
  </si>
  <si>
    <t xml:space="preserve">RI-07</t>
  </si>
  <si>
    <t xml:space="preserve">SSN not masked properly</t>
  </si>
  <si>
    <t xml:space="preserve">RI-08</t>
  </si>
  <si>
    <t xml:space="preserve">RI-09</t>
  </si>
  <si>
    <t xml:space="preserve">Product eligibility not validated against age / suitability</t>
  </si>
  <si>
    <t xml:space="preserve">TC-PROD-V07, TC-PROD-V08</t>
  </si>
  <si>
    <t xml:space="preserve">RI-10</t>
  </si>
  <si>
    <t xml:space="preserve">RI-11</t>
  </si>
  <si>
    <t xml:space="preserve">Exclusive waiver riders both selectable</t>
  </si>
  <si>
    <t xml:space="preserve">RI-12</t>
  </si>
  <si>
    <t xml:space="preserve">Premium not updated after configuration change</t>
  </si>
  <si>
    <t xml:space="preserve">TC-PROD-V05, TC-PROD-V06, TC-RIDER-V07</t>
  </si>
  <si>
    <t xml:space="preserve">RI-13</t>
  </si>
  <si>
    <t xml:space="preserve">Allocation below / above 100% allowed</t>
  </si>
  <si>
    <t xml:space="preserve">TC-BEN-V02, TC-BEN-V03, TC-API-V04</t>
  </si>
  <si>
    <t xml:space="preserve">RI-14</t>
  </si>
  <si>
    <t xml:space="preserve">Minor beneficiary guardian not required</t>
  </si>
  <si>
    <t xml:space="preserve">RI-15</t>
  </si>
  <si>
    <t xml:space="preserve">Duplicate beneficiaries not blocked</t>
  </si>
  <si>
    <t xml:space="preserve">RI-16</t>
  </si>
  <si>
    <t xml:space="preserve">Draft data not persisted</t>
  </si>
  <si>
    <t xml:space="preserve">TC-DASH-V04, TC-PROD-V11, TC-WF-V01, TC-WF-V02</t>
  </si>
  <si>
    <t xml:space="preserve">RI-17</t>
  </si>
  <si>
    <t xml:space="preserve">Submit enabled despite validation errors</t>
  </si>
  <si>
    <t xml:space="preserve">RI-18</t>
  </si>
  <si>
    <t xml:space="preserve">TC-DASH-V06, TC-WF-V06, TC-WF-V07, TC-API-V06</t>
  </si>
  <si>
    <t xml:space="preserve">RI-19</t>
  </si>
  <si>
    <t xml:space="preserve">TC-API-V03, TC-API-V04, TC-API-V07, TC-API-V12</t>
  </si>
  <si>
    <t xml:space="preserve">AD-03, AC-02</t>
  </si>
  <si>
    <t xml:space="preserve">RI-20</t>
  </si>
  <si>
    <t xml:space="preserve">Failures hard to debug (no consistent evidence)</t>
  </si>
  <si>
    <t xml:space="preserve">Detection rate</t>
  </si>
  <si>
    <t xml:space="preserve">Live run results (lab VM) and failure classification</t>
  </si>
  <si>
    <t xml:space="preserve">Only runs observed on the lab VM are recorded. Offline dry-runs against a mock application are NOT evidence about the application and are not listed.</t>
  </si>
  <si>
    <t xml:space="preserve">Run</t>
  </si>
  <si>
    <t xml:space="preserve">When</t>
  </si>
  <si>
    <t xml:space="preserve">Scope</t>
  </si>
  <si>
    <t xml:space="preserve">Code under test</t>
  </si>
  <si>
    <t xml:space="preserve">Skipped</t>
  </si>
  <si>
    <t xml:space="preserve">Pass rate</t>
  </si>
  <si>
    <t xml:space="preserve">Duration (min)</t>
  </si>
  <si>
    <t xml:space="preserve">Itemised Passed (formula)</t>
  </si>
  <si>
    <t xml:space="preserve">Itemised Failed (formula)</t>
  </si>
  <si>
    <t xml:space="preserve">RUN-1</t>
  </si>
  <si>
    <t xml:space="preserve">2026-10-26 11:38</t>
  </si>
  <si>
    <t xml:space="preserve">Smoke (@smoke), chromium + api</t>
  </si>
  <si>
    <t xml:space="preserve">Merged repo v1 (guessed selectors, no Create Draft step)</t>
  </si>
  <si>
    <t xml:space="preserve">Failures are automation defects (see Defect Log AD-01..AD-04). Login and dashboard were correct.</t>
  </si>
  <si>
    <t xml:space="preserve">RUN-2</t>
  </si>
  <si>
    <t xml:space="preserve">2026-10-26 11:51</t>
  </si>
  <si>
    <t xml:space="preserve">Full suite</t>
  </si>
  <si>
    <t xml:space="preserve">Merged repo v1 (same code as RUN-1)</t>
  </si>
  <si>
    <t xml:space="preserve">Passed: AUTH-V01/V02/V03/V05/V11/V14 and FW-01..04. AUTH-V04 and DASH-V01 passed in RUN-1 but are not in RUN-2's passed list - failure text not captured (see AD-11).</t>
  </si>
  <si>
    <t xml:space="preserve">RUN-3</t>
  </si>
  <si>
    <t xml:space="preserve">2026-10-26 (after fixes)</t>
  </si>
  <si>
    <t xml:space="preserve">Merged repo v2 (real ids, Create Draft step, learner account)</t>
  </si>
  <si>
    <t xml:space="preserve">CLI-V01 and PROD-V01 now pass, so the Create Draft step and the client/address/KYC/product ids work live. Remaining failures: product minimum (AD-09), API 404 (AD-11), first-login timeout (AD-10).</t>
  </si>
  <si>
    <t xml:space="preserve">Classification of the failures (from the Defect Log)</t>
  </si>
  <si>
    <t xml:space="preserve">Type</t>
  </si>
  <si>
    <t xml:space="preserve">Count</t>
  </si>
  <si>
    <t xml:space="preserve">Meaning</t>
  </si>
  <si>
    <t xml:space="preserve">Automation defect</t>
  </si>
  <si>
    <t xml:space="preserve">The test or page object was wrong (locator, flow, API contract).</t>
  </si>
  <si>
    <t xml:space="preserve">Test-data issue</t>
  </si>
  <si>
    <t xml:space="preserve">Data or account choice made a correct test fail.</t>
  </si>
  <si>
    <t xml:space="preserve">Environment issue</t>
  </si>
  <si>
    <t xml:space="preserve">Lab VM, URL, port or timing - not a product defect.</t>
  </si>
  <si>
    <t xml:space="preserve">Application defect (candidate)</t>
  </si>
  <si>
    <t xml:space="preserve">Possible application defect, NOT yet reproduced on the lab.</t>
  </si>
  <si>
    <t xml:space="preserve">Clarification</t>
  </si>
  <si>
    <t xml:space="preserve">Needs a product-owner answer before it can be called a defect.</t>
  </si>
  <si>
    <t xml:space="preserve">Confirmed application defects</t>
  </si>
  <si>
    <t xml:space="preserve">None yet: the live runs so far failed before any validation rule was reached. Re-run after the fixes, then update this sheet.</t>
  </si>
  <si>
    <t xml:space="preserve">Defect Log - classified before logging (README section 6)</t>
  </si>
  <si>
    <t xml:space="preserve">Yellow cells are for you: record the live re-run result and date after each fix. "PROBABLE" or "HYPOTHESIS" in the analysis means the failure text was not captured.</t>
  </si>
  <si>
    <t xml:space="preserve">Defect ID</t>
  </si>
  <si>
    <t xml:space="preserve">Affected test cases</t>
  </si>
  <si>
    <t xml:space="preserve">Reported issue (RI)</t>
  </si>
  <si>
    <t xml:space="preserve">Evidence</t>
  </si>
  <si>
    <t xml:space="preserve">Analysis / root cause</t>
  </si>
  <si>
    <t xml:space="preserve">Priority</t>
  </si>
  <si>
    <t xml:space="preserve">Status</t>
  </si>
  <si>
    <t xml:space="preserve">Fix / where</t>
  </si>
  <si>
    <t xml:space="preserve">Live re-run result (fill)</t>
  </si>
  <si>
    <t xml:space="preserve">Re-test date (fill)</t>
  </si>
  <si>
    <t xml:space="preserve">AD-01</t>
  </si>
  <si>
    <t xml:space="preserve">Dashboard / Workflow</t>
  </si>
  <si>
    <t xml:space="preserve">Start-new-application flow skipped the "Create Draft" page</t>
  </si>
  <si>
    <t xml:space="preserve">TC-WF-V01, TC-WF-V03, TC-WF-V08, TC-BEN-V01, TC-CLI-V01, TC-DOC-V01, TC-PROD-V01, TC-RIDER-V01</t>
  </si>
  <si>
    <t xml:space="preserve">RUN-1: every test that begins with "Start New Application" failed; AUTH and DASH tests passed. RUN-2: 73 failures, all in journey specs.</t>
  </si>
  <si>
    <t xml:space="preserve">The real app shows an application-start page with a Create Draft button between the dashboard and the client form. The flow clicked New Application and waited for client fields that never appeared.</t>
  </si>
  <si>
    <t xml:space="preserve">Verified live in RUN-3 (journeys now reach the product step)</t>
  </si>
  <si>
    <t xml:space="preserve">pages/DashboardPage.js startNewApplication()</t>
  </si>
  <si>
    <t xml:space="preserve">AD-02</t>
  </si>
  <si>
    <t xml:space="preserve">All UI steps</t>
  </si>
  <si>
    <t xml:space="preserve">Guessed data-testid values did not match the application</t>
  </si>
  <si>
    <t xml:space="preserve">TC-CLI-V01, TC-PROD-V01, TC-RIDER-V01, TC-BEN-V01, TC-DOC-V01, TC-WF-V03, TC-WF-V08</t>
  </si>
  <si>
    <t xml:space="preserve">RUN-1 and RUN-2 journey failures; third project's page objects list the real ids (e.g. client-first-name-input, product-select, rider-row-&lt;id&gt;).</t>
  </si>
  <si>
    <t xml:space="preserve">Only login and dashboard ids were confirmed. Every other id followed a guessed convention.</t>
  </si>
  <si>
    <t xml:space="preserve">Partly verified live in RUN-3 (client, address, KYC, product ids work; riders, beneficiaries, documents, review not yet reached)</t>
  </si>
  <si>
    <t xml:space="preserve">config/selectors.js (ids FROM MARKUP; run npm run verify:selectors to prove them)</t>
  </si>
  <si>
    <t xml:space="preserve">AD-03</t>
  </si>
  <si>
    <t xml:space="preserve">API client did not follow the real contract (agent_email, field names, redirects, payload shapes)</t>
  </si>
  <si>
    <t xml:space="preserve">TC-API-V01, TC-API-V02, TC-API-V03, TC-API-V04, TC-API-V05, TC-API-V06, TC-API-V08, TC-API-V10, TC-API-V11</t>
  </si>
  <si>
    <t xml:space="preserve">RUN-1: API-V01 failed in 343 ms, API-V02 in 446 ms (no response text captured).</t>
  </si>
  <si>
    <t xml:space="preserve">SUPERSEDED by AD-11: RUN-3 showed HTTP 404 on both API calls, so the first cause is the API base URL, not the contract. The contract fixes (product_name, agent_email on every call, no redirects, snake_case payloads) are still correct but cannot be proven until AD-11 is resolved.</t>
  </si>
  <si>
    <t xml:space="preserve">Fixed in code - awaiting live re-run</t>
  </si>
  <si>
    <t xml:space="preserve">api/ApiClient.js, api/helpers.js, config/endpoints.js, tests/api/applications.api.spec.js</t>
  </si>
  <si>
    <t xml:space="preserve">AD-04</t>
  </si>
  <si>
    <t xml:space="preserve">Product / Riders / Beneficiaries / Documents</t>
  </si>
  <si>
    <t xml:space="preserve">Page objects modelled the wrong controls (product and rider cards, Add-beneficiary modal, per-document file inputs, Save draft)</t>
  </si>
  <si>
    <t xml:space="preserve">TC-PROD-V01, TC-RIDER-V01, TC-BEN-V01, TC-DOC-V01, TC-WF-V01</t>
  </si>
  <si>
    <t xml:space="preserve">Third project's page objects: product step is a dropdown, riders are table rows, beneficiaries are an always-open form using native alert()/confirm(), documents are one type dropdown + one file input + Upload, and there is no Save draft button.</t>
  </si>
  <si>
    <t xml:space="preserve">The wizard model assumed in Submission 2 does not match the application.</t>
  </si>
  <si>
    <t xml:space="preserve">pages/ProductPage.js, RiderPage.js, BeneficiaryPage.js, DocumentsPage.js, BasePage.js</t>
  </si>
  <si>
    <t xml:space="preserve">AD-05</t>
  </si>
  <si>
    <t xml:space="preserve">Client / Address / KYC / Product</t>
  </si>
  <si>
    <t xml:space="preserve">Test data omitted mandatory fields and used display text instead of the app's option values</t>
  </si>
  <si>
    <t xml:space="preserve">TC-CLI-V01, TC-WF-V03</t>
  </si>
  <si>
    <t xml:space="preserve">Third project's data builders: employer address, preferred contact mode, compliance declaration, payment term and coverage term are all required; selects use enum values (MALE, SSN, MONTHLY).</t>
  </si>
  <si>
    <t xml:space="preserve">Steps could not be saved without these fields even with correct locators.</t>
  </si>
  <si>
    <t xml:space="preserve">utils/dataBuilder.js, pages/KycFinancialPage.js</t>
  </si>
  <si>
    <t xml:space="preserve">AD-06</t>
  </si>
  <si>
    <t xml:space="preserve">Test isolation</t>
  </si>
  <si>
    <t xml:space="preserve">Write flows ran as the seeded agent.valid, whose draft is shared and seeded</t>
  </si>
  <si>
    <t xml:space="preserve">TC-WF-V01, TC-WF-V03, TC-BEN-V01, TC-CLI-V01</t>
  </si>
  <si>
    <t xml:space="preserve">Login resumes or creates the agent's single draft (BR-AUTH-010); third project runs all write flows as a learner account.</t>
  </si>
  <si>
    <t xml:space="preserve">Shared state between tests and with seeded data DASH-* relies on.</t>
  </si>
  <si>
    <t xml:space="preserve">config/env.js learnerAgent (set LEARNER_USER to your assigned account); specs use agentRole learnerAgent</t>
  </si>
  <si>
    <t xml:space="preserve">AUTH-V02 tried a wrong password on agent.valid; failed attempts count toward the 5-attempt lock (BR-AUTH-005)</t>
  </si>
  <si>
    <t xml:space="preserve">TC-AUTH-V02, TC-AUTH-V04, TC-DASH-V01</t>
  </si>
  <si>
    <t xml:space="preserve">AUTH-V04 and DASH-V01 passed in RUN-1 but are missing from RUN-2's passed list.</t>
  </si>
  <si>
    <t xml:space="preserve">HYPOTHESIS only: repeated failed attempts may have locked or disturbed agent.valid. Not confirmed - RUN-2 gives no failure text for those two tests.</t>
  </si>
  <si>
    <t xml:space="preserve">tests/ui/auth.spec.js AUTH-V02 now uses the second agent</t>
  </si>
  <si>
    <t xml:space="preserve">CLI-V08 (SSN masking, release gate) silently skipped: it looked for an SSN field the real form does not have</t>
  </si>
  <si>
    <t xml:space="preserve">The real KYC form takes the SSN as the ID number when the ID type is SSN.</t>
  </si>
  <si>
    <t xml:space="preserve">A P1 release-gate scenario was not executing.</t>
  </si>
  <si>
    <t xml:space="preserve">tests/ui/client-kyc-sensitive.spec.js CLI-V08 rewritten (masked after reload, on review, no full SSN in page content)</t>
  </si>
  <si>
    <t xml:space="preserve">AD-09</t>
  </si>
  <si>
    <t xml:space="preserve">Product</t>
  </si>
  <si>
    <t xml:space="preserve">Journeys selected the first "whole life" product, whose minimum sum assured is above the default face value</t>
  </si>
  <si>
    <t xml:space="preserve">TC-WF-V03, TC-WF-V08, TC-BEN-V01, TC-DOC-V01, TC-RIDER-V01</t>
  </si>
  <si>
    <t xml:space="preserve">RUN-3: "Sum assured is below the selected product minimum." at the product step in 5 tests (reference data: Elite Legacy minimum 500,000 vs default 250,000; SecureLife minimum 100,000).</t>
  </si>
  <si>
    <t xml:space="preserve">The dropdown's first matching entry is not necessarily SecureLife. This is the application correctly enforcing a product rule, not an application defect.</t>
  </si>
  <si>
    <t xml:space="preserve">config/env.js patterns.defaultProduct (SecureLife; override with DEFAULT_PRODUCT_PATTERN); utils/dataBuilder.js</t>
  </si>
  <si>
    <t xml:space="preserve">AD-10</t>
  </si>
  <si>
    <t xml:space="preserve">Test setup</t>
  </si>
  <si>
    <t xml:space="preserve">First login of a run exceeded the 45 s test timeout while creating the cached session</t>
  </si>
  <si>
    <t xml:space="preserve">RUN-3: "Test timeout of 45000ms exceeded while setting up storageState" on the first test; later tests logged in fine.</t>
  </si>
  <si>
    <t xml:space="preserve">PROBABLE: cold lab VM or slow first draft creation on login. Not an application defect unless it recurs after the timeout is raised.</t>
  </si>
  <si>
    <t xml:space="preserve">fixtures/index.js storageState fixture has its own 180 s timeout</t>
  </si>
  <si>
    <t xml:space="preserve">AD-11</t>
  </si>
  <si>
    <t xml:space="preserve">API base URL: every API call returned HTTP 404 at &lt;host&gt;:8081/api/</t>
  </si>
  <si>
    <t xml:space="preserve">RUN-3: API-V01 (with key) and API-V02 (without) both returned 404. curl on 28 Oct: http://34.93.84.61:8000/api/products = connection timed out (not reachable from the tester machine); :8081/api/products and :8082/api/products = HTTP 404 with a Laravel "Not Found" HTML page (Apache/PHP) - the server is up but has no route at that path.</t>
  </si>
  <si>
    <t xml:space="preserve">CONFIRMED: /api/products does not exist on :8081 or :8082, and :8000 is not reachable. NOT YET KNOWN: where the API really is (different prefix such as /api/v1, or an API only enabled on a local server). npm run discover:api records the calls the app's own pages make and probes likely paths.</t>
  </si>
  <si>
    <t xml:space="preserve">Open - real API path not yet found (run npm run discover:api)</t>
  </si>
  <si>
    <t xml:space="preserve">scripts/discover-api.js; then set INSURANCE_API_URL (or adjust config/endpoints.js)</t>
  </si>
  <si>
    <t xml:space="preserve">Review / Validation</t>
  </si>
  <si>
    <t xml:space="preserve">Validation errors on the review page render as plain text, not links to the owning section</t>
  </si>
  <si>
    <t xml:space="preserve">Third project's ReviewPage notes "the app currently renders plain text". VAL-V02 expects clicking an item to navigate.</t>
  </si>
  <si>
    <t xml:space="preserve">Either the requirement (links) is unmet or VAL-V02 over-specifies. Confirm the requirement, then reproduce on the lab.</t>
  </si>
  <si>
    <t xml:space="preserve">Candidate - not reproduced</t>
  </si>
  <si>
    <t xml:space="preserve">AC-02</t>
  </si>
  <si>
    <t xml:space="preserve">API silently acts as learner001 when agent_email is omitted</t>
  </si>
  <si>
    <t xml:space="preserve">Stated in the third project's README and ApiClient notes; not observed by the team.</t>
  </si>
  <si>
    <t xml:space="preserve">Possible data-scoping weakness: confirm with a call that omits agent_email.</t>
  </si>
  <si>
    <t xml:space="preserve">No search or status-filter control is known on the dashboard</t>
  </si>
  <si>
    <t xml:space="preserve">TC-DASH-V05, TC-DASH-V07</t>
  </si>
  <si>
    <t xml:space="preserve">Third project's dashboard page object exposes only status counters and the latest 10 applications.</t>
  </si>
  <si>
    <t xml:space="preserve">Ask the product owner whether search / filters are in scope before treating DASH-V05/V07 as defects.</t>
  </si>
  <si>
    <t xml:space="preserve">Open</t>
  </si>
  <si>
    <t xml:space="preserve">Dashboard / Authentication</t>
  </si>
  <si>
    <t xml:space="preserve">Login auto-creates a draft, so a brand-new agent never sees the empty dashboard state</t>
  </si>
  <si>
    <t xml:space="preserve">BR-AUTH-010 (login resumes or creates the agent's draft).</t>
  </si>
  <si>
    <t xml:space="preserve">DASH-V03 may be unreachable by design. Confirm with the product owner.</t>
  </si>
  <si>
    <t xml:space="preserve">Exploration Log - hands-on walkthrough of the LIVE application BEFORE trusting the scripts</t>
  </si>
  <si>
    <t xml:space="preserve">Time-boxed (see total). Yellow cells are for you. Walk the full journey once, then resolve each open item and record it where the last-but-one column says.</t>
  </si>
  <si>
    <t xml:space="preserve">Item</t>
  </si>
  <si>
    <t xml:space="preserve">What to find out</t>
  </si>
  <si>
    <t xml:space="preserve">Record the answer in</t>
  </si>
  <si>
    <t xml:space="preserve">Time-box (min)</t>
  </si>
  <si>
    <t xml:space="preserve">Dependent test cases</t>
  </si>
  <si>
    <t xml:space="preserve"># Dependent</t>
  </si>
  <si>
    <t xml:space="preserve">Value found (fill)</t>
  </si>
  <si>
    <t xml:space="preserve">Date (fill)</t>
  </si>
  <si>
    <t xml:space="preserve">Notes (fill)</t>
  </si>
  <si>
    <t xml:space="preserve">Q02</t>
  </si>
  <si>
    <t xml:space="preserve">Base URL / port of the UI and API; reachable from the machine AND from the CI runner</t>
  </si>
  <si>
    <t xml:space="preserve">.env INSURANCE_BASE_URL, INSURANCE_API_URL</t>
  </si>
  <si>
    <t xml:space="preserve">Not started</t>
  </si>
  <si>
    <t xml:space="preserve">Q03</t>
  </si>
  <si>
    <t xml:space="preserve">API authentication (bearer token vs session cookie), header names, login response shape; payload field names for client / beneficiary / document calls</t>
  </si>
  <si>
    <t xml:space="preserve">.env API_AUTH_MODE, INSURANCE_API_KEY; api/helpers.js payloads</t>
  </si>
  <si>
    <t xml:space="preserve">Is read-only database access available? Engine, schema / data dictionary</t>
  </si>
  <si>
    <t xml:space="preserve">Unblocks DB-01..DB-10 (Blocked until then)</t>
  </si>
  <si>
    <t xml:space="preserve">Q06</t>
  </si>
  <si>
    <t xml:space="preserve">Which seeded users exist: new agent, second agent, MFA agent; which can be locked / reset safely (disposable)</t>
  </si>
  <si>
    <t xml:space="preserve">.env AGENT_*_EMAIL</t>
  </si>
  <si>
    <t xml:space="preserve">Lockout behaviour (5th failure locks? duration / unlock) and session timeout length</t>
  </si>
  <si>
    <t xml:space="preserve">.env LOCKOUT_ATTEMPTS, SESSION_TIMEOUT_SECONDS</t>
  </si>
  <si>
    <t xml:space="preserve">How OTP is simulated (fixed code?) for login MFA and password reset</t>
  </si>
  <si>
    <t xml:space="preserve">.env OTP_CODE</t>
  </si>
  <si>
    <t xml:space="preserve">TC-AUTH-V08, TC-AUTH-V09, TC-AUTH-V12</t>
  </si>
  <si>
    <t xml:space="preserve">Q09</t>
  </si>
  <si>
    <t xml:space="preserve">Exact password policy rules and the change / reset page route</t>
  </si>
  <si>
    <t xml:space="preserve">config/messages.js passwordPolicy; tests/ui/auth.spec.js weak list</t>
  </si>
  <si>
    <t xml:space="preserve">Q10</t>
  </si>
  <si>
    <t xml:space="preserve">Age 18 and 65 inclusive? Age calculated on which date?</t>
  </si>
  <si>
    <t xml:space="preserve">.env AGE_BOUNDARY_INCLUSIVE</t>
  </si>
  <si>
    <t xml:space="preserve">Q11</t>
  </si>
  <si>
    <t xml:space="preserve">Income vs premium affordability rule: block or warning, threshold, where it appears</t>
  </si>
  <si>
    <t xml:space="preserve">tests/ui/client.spec.js CLI-V12 data; config/messages.js affordability</t>
  </si>
  <si>
    <t xml:space="preserve">Face value min / max per product, product eligibility by age, suitability mismatch example, exact Whole Life product names</t>
  </si>
  <si>
    <t xml:space="preserve">.env FACE_VALUE_MIN/MAX, PRODUCT_NAME_PATTERN, INELIGIBLE_AGE*, SUITABILITY_PRODUCT_PATTERN</t>
  </si>
  <si>
    <t xml:space="preserve">TC-PROD-V03, TC-PROD-V04, TC-PROD-V07, TC-PROD-V08</t>
  </si>
  <si>
    <t xml:space="preserve">Q14</t>
  </si>
  <si>
    <t xml:space="preserve">Valid payment-term / policy-term combinations</t>
  </si>
  <si>
    <t xml:space="preserve">tests/ui/product.spec.js PROD-V09</t>
  </si>
  <si>
    <t xml:space="preserve">Maximum rider count, age-restricted rider, which waiver riders are exclusive, rider names</t>
  </si>
  <si>
    <t xml:space="preserve">.env MAX_RIDERS, RIDER_*_PATTERN</t>
  </si>
  <si>
    <t xml:space="preserve">TC-RIDER-V03, TC-RIDER-V05</t>
  </si>
  <si>
    <t xml:space="preserve">Q17</t>
  </si>
  <si>
    <t xml:space="preserve">Maximum upload size and which documents are mandatory</t>
  </si>
  <si>
    <t xml:space="preserve">.env MAX_UPLOAD_MB</t>
  </si>
  <si>
    <t xml:space="preserve">Can tests create their own draft applications (UI and API)? Is cleanup possible?</t>
  </si>
  <si>
    <t xml:space="preserve">api/helpers.js disposableDraft()</t>
  </si>
  <si>
    <t xml:space="preserve">TC-API-V03, TC-API-V04, TC-API-V05</t>
  </si>
  <si>
    <t xml:space="preserve">ROUTES</t>
  </si>
  <si>
    <t xml:space="preserve">Walk the full journey once; note the URL of every step, the application id pattern in the URL, and the exact wording of validation messages</t>
  </si>
  <si>
    <t xml:space="preserve">config/routes.js, config/messages.js, config/selectors.js (run npm run discover)</t>
  </si>
  <si>
    <t xml:space="preserve">Total time-box (min)</t>
  </si>
  <si>
    <t xml:space="preserve">Items done</t>
  </si>
  <si>
    <t xml:space="preserve">Exit rule: do not start broad automation until ROUTES, Q02, Q03 and Q06 are Done. Other items may stay open - their tests skip with a reason instead of failing falsely.</t>
  </si>
  <si>
    <t xml:space="preserve">Known limitations and blocked areas</t>
  </si>
  <si>
    <t xml:space="preserve">#</t>
  </si>
  <si>
    <t xml:space="preserve">Area</t>
  </si>
  <si>
    <t xml:space="preserve">Limitation / blocked item</t>
  </si>
  <si>
    <t xml:space="preserve">Resolution</t>
  </si>
  <si>
    <t xml:space="preserve">Execution</t>
  </si>
  <si>
    <t xml:space="preserve">Live runs on 26 Oct (smoke 5/15 passed; full 10/96) used the first code version. The fixes in the Defect Log have only been exercised against an offline mock of the application, which proves internal consistency, not live behaviour.</t>
  </si>
  <si>
    <t xml:space="preserve">Selectors and flows are consistent with the application markup but are unproven on the lab</t>
  </si>
  <si>
    <t xml:space="preserve">Re-run npm run test:smoke on the lab, then npm run verify:selectors; record results in the Defect Log</t>
  </si>
  <si>
    <t xml:space="preserve">Selectors</t>
  </si>
  <si>
    <t xml:space="preserve">Login and dashboard ids are proven by live runs. All other ids come from the application markup as captured in the third project's page objects and are not yet proven live.</t>
  </si>
  <si>
    <t xml:space="preserve">A wrong id fails a test for an automation reason</t>
  </si>
  <si>
    <t xml:space="preserve">npm run discover then npm run verify:selectors; config/selectors.js is the only file to edit</t>
  </si>
  <si>
    <t xml:space="preserve">No DB engine, schema or access (Q04). DB-01..DB-10 are Blocked.</t>
  </si>
  <si>
    <t xml:space="preserve">10 cases not automated</t>
  </si>
  <si>
    <t xml:space="preserve">API reads are used as a proxy where the linked scenario has an API test</t>
  </si>
  <si>
    <t xml:space="preserve">Business rules</t>
  </si>
  <si>
    <t xml:space="preserve">Max riders (4), upload size (5 MB) and lockout (5 attempts) are confirmed. Face value limits, age boundary and affordability rule are still TBC.</t>
  </si>
  <si>
    <t xml:space="preserve">Dependent tests skip with a reason instead of failing</t>
  </si>
  <si>
    <t xml:space="preserve">Resolve in exploration and set the .env values</t>
  </si>
  <si>
    <t xml:space="preserve">Users</t>
  </si>
  <si>
    <t xml:space="preserve">Seeded accounts agent.valid/locked/new/mfa/draft/submitted, admin and learner001-030 are confirmed. Disposable lockout and reset users are not (Q06).</t>
  </si>
  <si>
    <t xml:space="preserve">Lockout and reset tests skip until disposable users are set</t>
  </si>
  <si>
    <t xml:space="preserve">Set AGENT_LOCKOUT_* and AGENT_RESET_* in .env</t>
  </si>
  <si>
    <t xml:space="preserve">Destructive tests</t>
  </si>
  <si>
    <t xml:space="preserve">AUTH-V07 locks an account; AUTH-V08/V13 may change a password if the app is defective.</t>
  </si>
  <si>
    <t xml:space="preserve">Disposable users required</t>
  </si>
  <si>
    <t xml:space="preserve">Use AGENT_LOCKOUT_* and AGENT_RESET_* only with throw-away users</t>
  </si>
  <si>
    <t xml:space="preserve">API payloads</t>
  </si>
  <si>
    <t xml:space="preserve">API field names are unconfirmed (Q03). Tests send a valid control request first and skip if it is rejected.</t>
  </si>
  <si>
    <t xml:space="preserve">No false defects, but some API tests may skip</t>
  </si>
  <si>
    <t xml:space="preserve">Adjust api/helpers.js after exploration</t>
  </si>
  <si>
    <t xml:space="preserve">Shared lab</t>
  </si>
  <si>
    <t xml:space="preserve">One worker by default. Parallel runs add load and can collide on shared data.</t>
  </si>
  <si>
    <t xml:space="preserve">Slower runs</t>
  </si>
  <si>
    <t xml:space="preserve">Raise WORKERS only after a stable single-worker baseline</t>
  </si>
  <si>
    <t xml:space="preserve">Traces and videos cannot be masked, so they are disabled for KYC / SSN tests. Masked screenshots are attached instead.</t>
  </si>
  <si>
    <t xml:space="preserve">Less debug detail for 4 sensitive tests</t>
  </si>
  <si>
    <t xml:space="preserve">Use the masked screenshot and diagnostics.json</t>
  </si>
  <si>
    <t xml:space="preserve">Cross-browser</t>
  </si>
  <si>
    <t xml:space="preserve">Chromium primary. Firefox / WebKit smoke only when CROSS_BROWSER=true.</t>
  </si>
  <si>
    <t xml:space="preserve">Limited cross-browser coverage</t>
  </si>
  <si>
    <t xml:space="preserve">Enable per the plan before release</t>
  </si>
  <si>
    <t xml:space="preserve">Priorities</t>
  </si>
  <si>
    <t xml:space="preserve">P1 re-cut from 52 to 19 cases by author judgement.</t>
  </si>
  <si>
    <t xml:space="preserve">Mentor / product owner should confirm the gate</t>
  </si>
  <si>
    <t xml:space="preserve">Review the Release Gate sheet</t>
  </si>
  <si>
    <t xml:space="preserve">Risk links</t>
  </si>
  <si>
    <t xml:space="preserve">36 cases were not named in the Submission 1 "Covered by" column and were linked to the closest risk by judgement.</t>
  </si>
  <si>
    <t xml:space="preserve">Traceability partly judgemental</t>
  </si>
  <si>
    <t xml:space="preserve">Review in the Traceability - Risks sheet</t>
  </si>
  <si>
    <t xml:space="preserve">Agent dashboard access</t>
  </si>
  <si>
    <t xml:space="preserve">The starter project proved agents are not LANDED on /dashboard after login; it did not prove they cannot open it. Journeys and DASH-* cases start from the dashboard.</t>
  </si>
  <si>
    <t xml:space="preserve">If agents are redirected away, many UI cases fail for one reason</t>
  </si>
  <si>
    <t xml:space="preserve">Verify on the lab first; if redirected, start journeys from the draft application page</t>
  </si>
  <si>
    <t xml:space="preserve">Merged projects</t>
  </si>
  <si>
    <t xml:space="preserve">Built from two projects. Confirmed lab facts from the starter project override Submission 2 guesses (login ids, X-API-Key auth, seeded users, landing page). AUTH-V14 was carried over from the starter as AUTH-V01b.</t>
  </si>
  <si>
    <t xml:space="preserve">None if the lab matches the starter project documentation</t>
  </si>
  <si>
    <t xml:space="preserve">See docs/confirmed-environment-facts.md</t>
  </si>
</sst>
</file>

<file path=xl/styles.xml><?xml version="1.0" encoding="utf-8"?>
<styleSheet xmlns="http://schemas.openxmlformats.org/spreadsheetml/2006/main">
  <numFmts count="2">
    <numFmt numFmtId="164" formatCode="General"/>
    <numFmt numFmtId="165" formatCode="0%"/>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0"/>
      <color rgb="FFFFFFFF"/>
      <name val="Arial"/>
      <family val="0"/>
      <charset val="1"/>
    </font>
    <font>
      <sz val="10"/>
      <name val="Arial"/>
      <family val="0"/>
      <charset val="1"/>
    </font>
    <font>
      <b val="true"/>
      <sz val="10"/>
      <name val="Arial"/>
      <family val="0"/>
      <charset val="1"/>
    </font>
    <font>
      <b val="true"/>
      <sz val="11"/>
      <name val="Arial"/>
      <family val="0"/>
      <charset val="1"/>
    </font>
    <font>
      <i val="true"/>
      <sz val="9"/>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FF2B3"/>
      </patternFill>
    </fill>
    <fill>
      <patternFill patternType="solid">
        <fgColor rgb="FFF4B6B6"/>
        <bgColor rgb="FFF9D5A7"/>
      </patternFill>
    </fill>
    <fill>
      <patternFill patternType="solid">
        <fgColor rgb="FFD5E8D4"/>
        <bgColor rgb="FFF2F2F2"/>
      </patternFill>
    </fill>
    <fill>
      <patternFill patternType="solid">
        <fgColor rgb="FFF9D5A7"/>
        <bgColor rgb="FFFFF2B3"/>
      </patternFill>
    </fill>
    <fill>
      <patternFill patternType="solid">
        <fgColor rgb="FFFFFFFF"/>
        <bgColor rgb="FFF2F2F2"/>
      </patternFill>
    </fill>
    <fill>
      <patternFill patternType="solid">
        <fgColor rgb="FFFFF2B3"/>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4" fontId="7" fillId="9"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D5E8D4"/>
          <bgColor rgb="FF000000"/>
        </patternFill>
      </fill>
    </dxf>
    <dxf>
      <fill>
        <patternFill patternType="solid">
          <fgColor rgb="FFF4B6B6"/>
          <bgColor rgb="FF000000"/>
        </patternFill>
      </fill>
    </dxf>
    <dxf>
      <fill>
        <patternFill patternType="solid">
          <fgColor rgb="FFF9D5A7"/>
          <bgColor rgb="FF000000"/>
        </patternFill>
      </fill>
    </dxf>
    <dxf>
      <fill>
        <patternFill patternType="solid">
          <fgColor rgb="FFFFF2B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E8D4"/>
      <rgbColor rgb="FFFFF2B3"/>
      <rgbColor rgb="FF99CCFF"/>
      <rgbColor rgb="FFF4B6B6"/>
      <rgbColor rgb="FFCC99FF"/>
      <rgbColor rgb="FFF9D5A7"/>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9"/>
    <col collapsed="false" customWidth="true" hidden="false" outlineLevel="0" max="3" min="3" style="0" width="14"/>
    <col collapsed="false" customWidth="true" hidden="false" outlineLevel="0" max="6" min="4" style="0" width="8"/>
    <col collapsed="false" customWidth="true" hidden="false" outlineLevel="0" max="7" min="7" style="0" width="16"/>
    <col collapsed="false" customWidth="true" hidden="false" outlineLevel="0" max="8" min="8" style="0" width="11"/>
    <col collapsed="false" customWidth="true" hidden="false" outlineLevel="0" max="9" min="9" style="0" width="9"/>
    <col collapsed="false" customWidth="true" hidden="false" outlineLevel="0" max="10" min="10" style="0" width="10"/>
  </cols>
  <sheetData>
    <row r="1" customFormat="false" ht="17.35" hidden="false" customHeight="false" outlineLevel="0" collapsed="false">
      <c r="A1" s="1" t="s">
        <v>0</v>
      </c>
    </row>
    <row r="2" customFormat="false" ht="15" hidden="false" customHeight="false" outlineLevel="0" collapsed="false">
      <c r="A2" s="2" t="s">
        <v>1</v>
      </c>
    </row>
    <row r="4" customFormat="false" ht="31.5"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4" t="s">
        <v>12</v>
      </c>
      <c r="B5" s="4" t="n">
        <f aca="false">COUNTIF('Test Cases'!$C$5:$C$110,A5)</f>
        <v>14</v>
      </c>
      <c r="C5" s="4" t="n">
        <f aca="false">COUNTIFS('Test Cases'!$C$5:$C$110,A5,'Test Cases'!$P$5:$P$110,"P1")</f>
        <v>3</v>
      </c>
      <c r="D5" s="4" t="n">
        <f aca="false">COUNTIFS('Test Cases'!$C$5:$C$110,A5,'Test Cases'!$P$5:$P$110,"P2")</f>
        <v>10</v>
      </c>
      <c r="E5" s="4" t="n">
        <f aca="false">COUNTIFS('Test Cases'!$C$5:$C$110,A5,'Test Cases'!$P$5:$P$110,"P3")</f>
        <v>1</v>
      </c>
      <c r="F5" s="4" t="n">
        <f aca="false">COUNTIFS('Test Cases'!$C$5:$C$110,A5,'Test Cases'!$S$5:$S$110,"Y")</f>
        <v>4</v>
      </c>
      <c r="G5" s="4" t="n">
        <f aca="false">COUNTIFS('Test Cases'!$C$5:$C$110,A5,'Test Cases'!$G$5:$G$110,"?*")</f>
        <v>6</v>
      </c>
      <c r="H5" s="4" t="n">
        <f aca="false">COUNTIFS('Test Cases'!$C$5:$C$110,A5,'Test Cases'!$V$5:$V$110,"Automated")</f>
        <v>14</v>
      </c>
      <c r="I5" s="4" t="n">
        <f aca="false">COUNTIFS('Test Cases'!$C$5:$C$110,A5,'Test Cases'!$V$5:$V$110,"Blocked")</f>
        <v>0</v>
      </c>
      <c r="J5" s="4" t="n">
        <f aca="false">COUNTIFS('Test Cases'!$C$5:$C$110,A5,'Test Cases'!$T$5:$T$110,"Y")</f>
        <v>0</v>
      </c>
    </row>
    <row r="6" customFormat="false" ht="15" hidden="false" customHeight="false" outlineLevel="0" collapsed="false">
      <c r="A6" s="4" t="s">
        <v>13</v>
      </c>
      <c r="B6" s="4" t="n">
        <f aca="false">COUNTIF('Test Cases'!$C$5:$C$110,A6)</f>
        <v>7</v>
      </c>
      <c r="C6" s="4" t="n">
        <f aca="false">COUNTIFS('Test Cases'!$C$5:$C$110,A6,'Test Cases'!$P$5:$P$110,"P1")</f>
        <v>1</v>
      </c>
      <c r="D6" s="4" t="n">
        <f aca="false">COUNTIFS('Test Cases'!$C$5:$C$110,A6,'Test Cases'!$P$5:$P$110,"P2")</f>
        <v>4</v>
      </c>
      <c r="E6" s="4" t="n">
        <f aca="false">COUNTIFS('Test Cases'!$C$5:$C$110,A6,'Test Cases'!$P$5:$P$110,"P3")</f>
        <v>2</v>
      </c>
      <c r="F6" s="4" t="n">
        <f aca="false">COUNTIFS('Test Cases'!$C$5:$C$110,A6,'Test Cases'!$S$5:$S$110,"Y")</f>
        <v>1</v>
      </c>
      <c r="G6" s="4" t="n">
        <f aca="false">COUNTIFS('Test Cases'!$C$5:$C$110,A6,'Test Cases'!$G$5:$G$110,"?*")</f>
        <v>2</v>
      </c>
      <c r="H6" s="4" t="n">
        <f aca="false">COUNTIFS('Test Cases'!$C$5:$C$110,A6,'Test Cases'!$V$5:$V$110,"Automated")</f>
        <v>7</v>
      </c>
      <c r="I6" s="4" t="n">
        <f aca="false">COUNTIFS('Test Cases'!$C$5:$C$110,A6,'Test Cases'!$V$5:$V$110,"Blocked")</f>
        <v>0</v>
      </c>
      <c r="J6" s="4" t="n">
        <f aca="false">COUNTIFS('Test Cases'!$C$5:$C$110,A6,'Test Cases'!$T$5:$T$110,"Y")</f>
        <v>0</v>
      </c>
    </row>
    <row r="7" customFormat="false" ht="15" hidden="false" customHeight="false" outlineLevel="0" collapsed="false">
      <c r="A7" s="4" t="s">
        <v>14</v>
      </c>
      <c r="B7" s="4" t="n">
        <f aca="false">COUNTIF('Test Cases'!$C$5:$C$110,A7)</f>
        <v>15</v>
      </c>
      <c r="C7" s="4" t="n">
        <f aca="false">COUNTIFS('Test Cases'!$C$5:$C$110,A7,'Test Cases'!$P$5:$P$110,"P1")</f>
        <v>2</v>
      </c>
      <c r="D7" s="4" t="n">
        <f aca="false">COUNTIFS('Test Cases'!$C$5:$C$110,A7,'Test Cases'!$P$5:$P$110,"P2")</f>
        <v>11</v>
      </c>
      <c r="E7" s="4" t="n">
        <f aca="false">COUNTIFS('Test Cases'!$C$5:$C$110,A7,'Test Cases'!$P$5:$P$110,"P3")</f>
        <v>2</v>
      </c>
      <c r="F7" s="4" t="n">
        <f aca="false">COUNTIFS('Test Cases'!$C$5:$C$110,A7,'Test Cases'!$S$5:$S$110,"Y")</f>
        <v>1</v>
      </c>
      <c r="G7" s="4" t="n">
        <f aca="false">COUNTIFS('Test Cases'!$C$5:$C$110,A7,'Test Cases'!$G$5:$G$110,"?*")</f>
        <v>5</v>
      </c>
      <c r="H7" s="4" t="n">
        <f aca="false">COUNTIFS('Test Cases'!$C$5:$C$110,A7,'Test Cases'!$V$5:$V$110,"Automated")</f>
        <v>15</v>
      </c>
      <c r="I7" s="4" t="n">
        <f aca="false">COUNTIFS('Test Cases'!$C$5:$C$110,A7,'Test Cases'!$V$5:$V$110,"Blocked")</f>
        <v>0</v>
      </c>
      <c r="J7" s="4" t="n">
        <f aca="false">COUNTIFS('Test Cases'!$C$5:$C$110,A7,'Test Cases'!$T$5:$T$110,"Y")</f>
        <v>4</v>
      </c>
    </row>
    <row r="8" customFormat="false" ht="15" hidden="false" customHeight="false" outlineLevel="0" collapsed="false">
      <c r="A8" s="4" t="s">
        <v>15</v>
      </c>
      <c r="B8" s="4" t="n">
        <f aca="false">COUNTIF('Test Cases'!$C$5:$C$110,A8)</f>
        <v>11</v>
      </c>
      <c r="C8" s="4" t="n">
        <f aca="false">COUNTIFS('Test Cases'!$C$5:$C$110,A8,'Test Cases'!$P$5:$P$110,"P1")</f>
        <v>3</v>
      </c>
      <c r="D8" s="4" t="n">
        <f aca="false">COUNTIFS('Test Cases'!$C$5:$C$110,A8,'Test Cases'!$P$5:$P$110,"P2")</f>
        <v>8</v>
      </c>
      <c r="E8" s="4" t="n">
        <f aca="false">COUNTIFS('Test Cases'!$C$5:$C$110,A8,'Test Cases'!$P$5:$P$110,"P3")</f>
        <v>0</v>
      </c>
      <c r="F8" s="4" t="n">
        <f aca="false">COUNTIFS('Test Cases'!$C$5:$C$110,A8,'Test Cases'!$S$5:$S$110,"Y")</f>
        <v>1</v>
      </c>
      <c r="G8" s="4" t="n">
        <f aca="false">COUNTIFS('Test Cases'!$C$5:$C$110,A8,'Test Cases'!$G$5:$G$110,"?*")</f>
        <v>5</v>
      </c>
      <c r="H8" s="4" t="n">
        <f aca="false">COUNTIFS('Test Cases'!$C$5:$C$110,A8,'Test Cases'!$V$5:$V$110,"Automated")</f>
        <v>11</v>
      </c>
      <c r="I8" s="4" t="n">
        <f aca="false">COUNTIFS('Test Cases'!$C$5:$C$110,A8,'Test Cases'!$V$5:$V$110,"Blocked")</f>
        <v>0</v>
      </c>
      <c r="J8" s="4" t="n">
        <f aca="false">COUNTIFS('Test Cases'!$C$5:$C$110,A8,'Test Cases'!$T$5:$T$110,"Y")</f>
        <v>0</v>
      </c>
    </row>
    <row r="9" customFormat="false" ht="15" hidden="false" customHeight="false" outlineLevel="0" collapsed="false">
      <c r="A9" s="4" t="s">
        <v>16</v>
      </c>
      <c r="B9" s="4" t="n">
        <f aca="false">COUNTIF('Test Cases'!$C$5:$C$110,A9)</f>
        <v>7</v>
      </c>
      <c r="C9" s="4" t="n">
        <f aca="false">COUNTIFS('Test Cases'!$C$5:$C$110,A9,'Test Cases'!$P$5:$P$110,"P1")</f>
        <v>1</v>
      </c>
      <c r="D9" s="4" t="n">
        <f aca="false">COUNTIFS('Test Cases'!$C$5:$C$110,A9,'Test Cases'!$P$5:$P$110,"P2")</f>
        <v>6</v>
      </c>
      <c r="E9" s="4" t="n">
        <f aca="false">COUNTIFS('Test Cases'!$C$5:$C$110,A9,'Test Cases'!$P$5:$P$110,"P3")</f>
        <v>0</v>
      </c>
      <c r="F9" s="4" t="n">
        <f aca="false">COUNTIFS('Test Cases'!$C$5:$C$110,A9,'Test Cases'!$S$5:$S$110,"Y")</f>
        <v>1</v>
      </c>
      <c r="G9" s="4" t="n">
        <f aca="false">COUNTIFS('Test Cases'!$C$5:$C$110,A9,'Test Cases'!$G$5:$G$110,"?*")</f>
        <v>3</v>
      </c>
      <c r="H9" s="4" t="n">
        <f aca="false">COUNTIFS('Test Cases'!$C$5:$C$110,A9,'Test Cases'!$V$5:$V$110,"Automated")</f>
        <v>7</v>
      </c>
      <c r="I9" s="4" t="n">
        <f aca="false">COUNTIFS('Test Cases'!$C$5:$C$110,A9,'Test Cases'!$V$5:$V$110,"Blocked")</f>
        <v>0</v>
      </c>
      <c r="J9" s="4" t="n">
        <f aca="false">COUNTIFS('Test Cases'!$C$5:$C$110,A9,'Test Cases'!$T$5:$T$110,"Y")</f>
        <v>0</v>
      </c>
    </row>
    <row r="10" customFormat="false" ht="15" hidden="false" customHeight="false" outlineLevel="0" collapsed="false">
      <c r="A10" s="4" t="s">
        <v>17</v>
      </c>
      <c r="B10" s="4" t="n">
        <f aca="false">COUNTIF('Test Cases'!$C$5:$C$110,A10)</f>
        <v>11</v>
      </c>
      <c r="C10" s="4" t="n">
        <f aca="false">COUNTIFS('Test Cases'!$C$5:$C$110,A10,'Test Cases'!$P$5:$P$110,"P1")</f>
        <v>2</v>
      </c>
      <c r="D10" s="4" t="n">
        <f aca="false">COUNTIFS('Test Cases'!$C$5:$C$110,A10,'Test Cases'!$P$5:$P$110,"P2")</f>
        <v>7</v>
      </c>
      <c r="E10" s="4" t="n">
        <f aca="false">COUNTIFS('Test Cases'!$C$5:$C$110,A10,'Test Cases'!$P$5:$P$110,"P3")</f>
        <v>2</v>
      </c>
      <c r="F10" s="4" t="n">
        <f aca="false">COUNTIFS('Test Cases'!$C$5:$C$110,A10,'Test Cases'!$S$5:$S$110,"Y")</f>
        <v>1</v>
      </c>
      <c r="G10" s="4" t="n">
        <f aca="false">COUNTIFS('Test Cases'!$C$5:$C$110,A10,'Test Cases'!$G$5:$G$110,"?*")</f>
        <v>4</v>
      </c>
      <c r="H10" s="4" t="n">
        <f aca="false">COUNTIFS('Test Cases'!$C$5:$C$110,A10,'Test Cases'!$V$5:$V$110,"Automated")</f>
        <v>11</v>
      </c>
      <c r="I10" s="4" t="n">
        <f aca="false">COUNTIFS('Test Cases'!$C$5:$C$110,A10,'Test Cases'!$V$5:$V$110,"Blocked")</f>
        <v>0</v>
      </c>
      <c r="J10" s="4" t="n">
        <f aca="false">COUNTIFS('Test Cases'!$C$5:$C$110,A10,'Test Cases'!$T$5:$T$110,"Y")</f>
        <v>0</v>
      </c>
    </row>
    <row r="11" customFormat="false" ht="15" hidden="false" customHeight="false" outlineLevel="0" collapsed="false">
      <c r="A11" s="4" t="s">
        <v>18</v>
      </c>
      <c r="B11" s="4" t="n">
        <f aca="false">COUNTIF('Test Cases'!$C$5:$C$110,A11)</f>
        <v>4</v>
      </c>
      <c r="C11" s="4" t="n">
        <f aca="false">COUNTIFS('Test Cases'!$C$5:$C$110,A11,'Test Cases'!$P$5:$P$110,"P1")</f>
        <v>1</v>
      </c>
      <c r="D11" s="4" t="n">
        <f aca="false">COUNTIFS('Test Cases'!$C$5:$C$110,A11,'Test Cases'!$P$5:$P$110,"P2")</f>
        <v>3</v>
      </c>
      <c r="E11" s="4" t="n">
        <f aca="false">COUNTIFS('Test Cases'!$C$5:$C$110,A11,'Test Cases'!$P$5:$P$110,"P3")</f>
        <v>0</v>
      </c>
      <c r="F11" s="4" t="n">
        <f aca="false">COUNTIFS('Test Cases'!$C$5:$C$110,A11,'Test Cases'!$S$5:$S$110,"Y")</f>
        <v>1</v>
      </c>
      <c r="G11" s="4" t="n">
        <f aca="false">COUNTIFS('Test Cases'!$C$5:$C$110,A11,'Test Cases'!$G$5:$G$110,"?*")</f>
        <v>1</v>
      </c>
      <c r="H11" s="4" t="n">
        <f aca="false">COUNTIFS('Test Cases'!$C$5:$C$110,A11,'Test Cases'!$V$5:$V$110,"Automated")</f>
        <v>4</v>
      </c>
      <c r="I11" s="4" t="n">
        <f aca="false">COUNTIFS('Test Cases'!$C$5:$C$110,A11,'Test Cases'!$V$5:$V$110,"Blocked")</f>
        <v>0</v>
      </c>
      <c r="J11" s="4" t="n">
        <f aca="false">COUNTIFS('Test Cases'!$C$5:$C$110,A11,'Test Cases'!$T$5:$T$110,"Y")</f>
        <v>0</v>
      </c>
    </row>
    <row r="12" customFormat="false" ht="15" hidden="false" customHeight="false" outlineLevel="0" collapsed="false">
      <c r="A12" s="4" t="s">
        <v>19</v>
      </c>
      <c r="B12" s="4" t="n">
        <f aca="false">COUNTIF('Test Cases'!$C$5:$C$110,A12)</f>
        <v>3</v>
      </c>
      <c r="C12" s="4" t="n">
        <f aca="false">COUNTIFS('Test Cases'!$C$5:$C$110,A12,'Test Cases'!$P$5:$P$110,"P1")</f>
        <v>1</v>
      </c>
      <c r="D12" s="4" t="n">
        <f aca="false">COUNTIFS('Test Cases'!$C$5:$C$110,A12,'Test Cases'!$P$5:$P$110,"P2")</f>
        <v>1</v>
      </c>
      <c r="E12" s="4" t="n">
        <f aca="false">COUNTIFS('Test Cases'!$C$5:$C$110,A12,'Test Cases'!$P$5:$P$110,"P3")</f>
        <v>1</v>
      </c>
      <c r="F12" s="4" t="n">
        <f aca="false">COUNTIFS('Test Cases'!$C$5:$C$110,A12,'Test Cases'!$S$5:$S$110,"Y")</f>
        <v>0</v>
      </c>
      <c r="G12" s="4" t="n">
        <f aca="false">COUNTIFS('Test Cases'!$C$5:$C$110,A12,'Test Cases'!$G$5:$G$110,"?*")</f>
        <v>1</v>
      </c>
      <c r="H12" s="4" t="n">
        <f aca="false">COUNTIFS('Test Cases'!$C$5:$C$110,A12,'Test Cases'!$V$5:$V$110,"Automated")</f>
        <v>3</v>
      </c>
      <c r="I12" s="4" t="n">
        <f aca="false">COUNTIFS('Test Cases'!$C$5:$C$110,A12,'Test Cases'!$V$5:$V$110,"Blocked")</f>
        <v>0</v>
      </c>
      <c r="J12" s="4" t="n">
        <f aca="false">COUNTIFS('Test Cases'!$C$5:$C$110,A12,'Test Cases'!$T$5:$T$110,"Y")</f>
        <v>0</v>
      </c>
    </row>
    <row r="13" customFormat="false" ht="15" hidden="false" customHeight="false" outlineLevel="0" collapsed="false">
      <c r="A13" s="4" t="s">
        <v>20</v>
      </c>
      <c r="B13" s="4" t="n">
        <f aca="false">COUNTIF('Test Cases'!$C$5:$C$110,A13)</f>
        <v>8</v>
      </c>
      <c r="C13" s="4" t="n">
        <f aca="false">COUNTIFS('Test Cases'!$C$5:$C$110,A13,'Test Cases'!$P$5:$P$110,"P1")</f>
        <v>3</v>
      </c>
      <c r="D13" s="4" t="n">
        <f aca="false">COUNTIFS('Test Cases'!$C$5:$C$110,A13,'Test Cases'!$P$5:$P$110,"P2")</f>
        <v>4</v>
      </c>
      <c r="E13" s="4" t="n">
        <f aca="false">COUNTIFS('Test Cases'!$C$5:$C$110,A13,'Test Cases'!$P$5:$P$110,"P3")</f>
        <v>1</v>
      </c>
      <c r="F13" s="4" t="n">
        <f aca="false">COUNTIFS('Test Cases'!$C$5:$C$110,A13,'Test Cases'!$S$5:$S$110,"Y")</f>
        <v>3</v>
      </c>
      <c r="G13" s="4" t="n">
        <f aca="false">COUNTIFS('Test Cases'!$C$5:$C$110,A13,'Test Cases'!$G$5:$G$110,"?*")</f>
        <v>4</v>
      </c>
      <c r="H13" s="4" t="n">
        <f aca="false">COUNTIFS('Test Cases'!$C$5:$C$110,A13,'Test Cases'!$V$5:$V$110,"Automated")</f>
        <v>8</v>
      </c>
      <c r="I13" s="4" t="n">
        <f aca="false">COUNTIFS('Test Cases'!$C$5:$C$110,A13,'Test Cases'!$V$5:$V$110,"Blocked")</f>
        <v>0</v>
      </c>
      <c r="J13" s="4" t="n">
        <f aca="false">COUNTIFS('Test Cases'!$C$5:$C$110,A13,'Test Cases'!$T$5:$T$110,"Y")</f>
        <v>0</v>
      </c>
    </row>
    <row r="14" customFormat="false" ht="15" hidden="false" customHeight="false" outlineLevel="0" collapsed="false">
      <c r="A14" s="4" t="s">
        <v>21</v>
      </c>
      <c r="B14" s="4" t="n">
        <f aca="false">COUNTIF('Test Cases'!$C$5:$C$110,A14)</f>
        <v>12</v>
      </c>
      <c r="C14" s="4" t="n">
        <f aca="false">COUNTIFS('Test Cases'!$C$5:$C$110,A14,'Test Cases'!$P$5:$P$110,"P1")</f>
        <v>2</v>
      </c>
      <c r="D14" s="4" t="n">
        <f aca="false">COUNTIFS('Test Cases'!$C$5:$C$110,A14,'Test Cases'!$P$5:$P$110,"P2")</f>
        <v>10</v>
      </c>
      <c r="E14" s="4" t="n">
        <f aca="false">COUNTIFS('Test Cases'!$C$5:$C$110,A14,'Test Cases'!$P$5:$P$110,"P3")</f>
        <v>0</v>
      </c>
      <c r="F14" s="4" t="n">
        <f aca="false">COUNTIFS('Test Cases'!$C$5:$C$110,A14,'Test Cases'!$S$5:$S$110,"Y")</f>
        <v>2</v>
      </c>
      <c r="G14" s="4" t="n">
        <f aca="false">COUNTIFS('Test Cases'!$C$5:$C$110,A14,'Test Cases'!$G$5:$G$110,"?*")</f>
        <v>6</v>
      </c>
      <c r="H14" s="4" t="n">
        <f aca="false">COUNTIFS('Test Cases'!$C$5:$C$110,A14,'Test Cases'!$V$5:$V$110,"Automated")</f>
        <v>12</v>
      </c>
      <c r="I14" s="4" t="n">
        <f aca="false">COUNTIFS('Test Cases'!$C$5:$C$110,A14,'Test Cases'!$V$5:$V$110,"Blocked")</f>
        <v>0</v>
      </c>
      <c r="J14" s="4" t="n">
        <f aca="false">COUNTIFS('Test Cases'!$C$5:$C$110,A14,'Test Cases'!$T$5:$T$110,"Y")</f>
        <v>0</v>
      </c>
    </row>
    <row r="15" customFormat="false" ht="15" hidden="false" customHeight="false" outlineLevel="0" collapsed="false">
      <c r="A15" s="4" t="s">
        <v>22</v>
      </c>
      <c r="B15" s="4" t="n">
        <f aca="false">COUNTIF('Test Cases'!$C$5:$C$110,A15)</f>
        <v>10</v>
      </c>
      <c r="C15" s="4" t="n">
        <f aca="false">COUNTIFS('Test Cases'!$C$5:$C$110,A15,'Test Cases'!$P$5:$P$110,"P1")</f>
        <v>0</v>
      </c>
      <c r="D15" s="4" t="n">
        <f aca="false">COUNTIFS('Test Cases'!$C$5:$C$110,A15,'Test Cases'!$P$5:$P$110,"P2")</f>
        <v>10</v>
      </c>
      <c r="E15" s="4" t="n">
        <f aca="false">COUNTIFS('Test Cases'!$C$5:$C$110,A15,'Test Cases'!$P$5:$P$110,"P3")</f>
        <v>0</v>
      </c>
      <c r="F15" s="4" t="n">
        <f aca="false">COUNTIFS('Test Cases'!$C$5:$C$110,A15,'Test Cases'!$S$5:$S$110,"Y")</f>
        <v>0</v>
      </c>
      <c r="G15" s="4" t="n">
        <f aca="false">COUNTIFS('Test Cases'!$C$5:$C$110,A15,'Test Cases'!$G$5:$G$110,"?*")</f>
        <v>0</v>
      </c>
      <c r="H15" s="4" t="n">
        <f aca="false">COUNTIFS('Test Cases'!$C$5:$C$110,A15,'Test Cases'!$V$5:$V$110,"Automated")</f>
        <v>0</v>
      </c>
      <c r="I15" s="4" t="n">
        <f aca="false">COUNTIFS('Test Cases'!$C$5:$C$110,A15,'Test Cases'!$V$5:$V$110,"Blocked")</f>
        <v>10</v>
      </c>
      <c r="J15" s="4" t="n">
        <f aca="false">COUNTIFS('Test Cases'!$C$5:$C$110,A15,'Test Cases'!$T$5:$T$110,"Y")</f>
        <v>0</v>
      </c>
    </row>
    <row r="16" customFormat="false" ht="15" hidden="false" customHeight="false" outlineLevel="0" collapsed="false">
      <c r="A16" s="4" t="s">
        <v>23</v>
      </c>
      <c r="B16" s="4" t="n">
        <f aca="false">COUNTIF('Test Cases'!$C$5:$C$110,A16)</f>
        <v>4</v>
      </c>
      <c r="C16" s="4" t="n">
        <f aca="false">COUNTIFS('Test Cases'!$C$5:$C$110,A16,'Test Cases'!$P$5:$P$110,"P1")</f>
        <v>0</v>
      </c>
      <c r="D16" s="4" t="n">
        <f aca="false">COUNTIFS('Test Cases'!$C$5:$C$110,A16,'Test Cases'!$P$5:$P$110,"P2")</f>
        <v>4</v>
      </c>
      <c r="E16" s="4" t="n">
        <f aca="false">COUNTIFS('Test Cases'!$C$5:$C$110,A16,'Test Cases'!$P$5:$P$110,"P3")</f>
        <v>0</v>
      </c>
      <c r="F16" s="4" t="n">
        <f aca="false">COUNTIFS('Test Cases'!$C$5:$C$110,A16,'Test Cases'!$S$5:$S$110,"Y")</f>
        <v>0</v>
      </c>
      <c r="G16" s="4" t="n">
        <f aca="false">COUNTIFS('Test Cases'!$C$5:$C$110,A16,'Test Cases'!$G$5:$G$110,"?*")</f>
        <v>1</v>
      </c>
      <c r="H16" s="4" t="n">
        <f aca="false">COUNTIFS('Test Cases'!$C$5:$C$110,A16,'Test Cases'!$V$5:$V$110,"Automated")</f>
        <v>4</v>
      </c>
      <c r="I16" s="4" t="n">
        <f aca="false">COUNTIFS('Test Cases'!$C$5:$C$110,A16,'Test Cases'!$V$5:$V$110,"Blocked")</f>
        <v>0</v>
      </c>
      <c r="J16" s="4" t="n">
        <f aca="false">COUNTIFS('Test Cases'!$C$5:$C$110,A16,'Test Cases'!$T$5:$T$110,"Y")</f>
        <v>0</v>
      </c>
    </row>
    <row r="17" customFormat="false" ht="15" hidden="false" customHeight="false" outlineLevel="0" collapsed="false">
      <c r="A17" s="5" t="s">
        <v>3</v>
      </c>
      <c r="B17" s="5" t="n">
        <f aca="false">SUM(B5:B16)</f>
        <v>106</v>
      </c>
      <c r="C17" s="5" t="n">
        <f aca="false">SUM(C5:C16)</f>
        <v>19</v>
      </c>
      <c r="D17" s="5" t="n">
        <f aca="false">SUM(D5:D16)</f>
        <v>78</v>
      </c>
      <c r="E17" s="5" t="n">
        <f aca="false">SUM(E5:E16)</f>
        <v>9</v>
      </c>
      <c r="F17" s="5" t="n">
        <f aca="false">SUM(F5:F16)</f>
        <v>15</v>
      </c>
      <c r="G17" s="5" t="n">
        <f aca="false">SUM(G5:G16)</f>
        <v>38</v>
      </c>
      <c r="H17" s="5" t="n">
        <f aca="false">SUM(H5:H16)</f>
        <v>96</v>
      </c>
      <c r="I17" s="5" t="n">
        <f aca="false">SUM(I5:I16)</f>
        <v>10</v>
      </c>
      <c r="J17" s="5" t="n">
        <f aca="false">SUM(J5:J16)</f>
        <v>4</v>
      </c>
    </row>
    <row r="19" customFormat="false" ht="15" hidden="false" customHeight="false" outlineLevel="0" collapsed="false">
      <c r="A19" s="6" t="s">
        <v>24</v>
      </c>
      <c r="B19" s="7" t="n">
        <f aca="false">C17/B17</f>
        <v>0.179245283018868</v>
      </c>
    </row>
    <row r="20" customFormat="false" ht="15" hidden="false" customHeight="false" outlineLevel="0" collapsed="false">
      <c r="A20" s="6" t="s">
        <v>25</v>
      </c>
      <c r="B20" s="8" t="str">
        <f aca="false">IF(AND(C17&gt;=15,C17&lt;=20),"Yes","No - review")</f>
        <v>Yes</v>
      </c>
    </row>
    <row r="21" customFormat="false" ht="15" hidden="false" customHeight="false" outlineLevel="0" collapsed="false">
      <c r="A21" s="6" t="s">
        <v>26</v>
      </c>
      <c r="B21" s="7" t="n">
        <f aca="false">H17/B17</f>
        <v>0.905660377358491</v>
      </c>
    </row>
    <row r="22" customFormat="false" ht="15" hidden="false" customHeight="false" outlineLevel="0" collapsed="false">
      <c r="A22" s="6" t="s">
        <v>27</v>
      </c>
      <c r="B22" s="8" t="str">
        <f aca="false">COUNTIF('Traceability - Risks'!J5:J45,"&gt;0")&amp;" of 41"</f>
        <v>41 of 41</v>
      </c>
    </row>
    <row r="23" customFormat="false" ht="15" hidden="false" customHeight="false" outlineLevel="0" collapsed="false">
      <c r="A23" s="6" t="s">
        <v>28</v>
      </c>
      <c r="B23" s="8" t="str">
        <f aca="false">COUNTIF('Traceability - Defects'!F5:F24,"&gt;0")&amp;" of 20"</f>
        <v>20 of 20</v>
      </c>
    </row>
    <row r="25" customFormat="false" ht="15" hidden="false" customHeight="false" outlineLevel="0" collapsed="false">
      <c r="A25" s="9" t="s">
        <v>29</v>
      </c>
    </row>
    <row r="26" customFormat="false" ht="15" hidden="false" customHeight="false" outlineLevel="0" collapsed="false">
      <c r="A26" s="10" t="s">
        <v>30</v>
      </c>
    </row>
    <row r="27" customFormat="false" ht="15" hidden="false" customHeight="false" outlineLevel="0" collapsed="false">
      <c r="A27" s="10"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AE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22"/>
    <col collapsed="false" customWidth="true" hidden="false" outlineLevel="0" max="4" min="4" style="0" width="11"/>
    <col collapsed="false" customWidth="true" hidden="false" outlineLevel="0" max="5" min="5" style="0" width="8"/>
    <col collapsed="false" customWidth="true" hidden="false" outlineLevel="0" max="6" min="6" style="0" width="16"/>
    <col collapsed="false" customWidth="true" hidden="false" outlineLevel="0" max="7" min="7" style="0" width="34"/>
    <col collapsed="false" customWidth="true" hidden="false" outlineLevel="0" max="8" min="8" style="0" width="18"/>
    <col collapsed="false" customWidth="true" hidden="false" outlineLevel="0" max="9" min="9" style="0" width="14"/>
    <col collapsed="false" customWidth="true" hidden="false" outlineLevel="0" max="10" min="10" style="0" width="12"/>
    <col collapsed="false" customWidth="true" hidden="false" outlineLevel="0" max="11" min="11" style="0" width="40"/>
    <col collapsed="false" customWidth="true" hidden="false" outlineLevel="0" max="12" min="12" style="0" width="50"/>
    <col collapsed="false" customWidth="true" hidden="false" outlineLevel="0" max="13" min="13" style="0" width="30"/>
    <col collapsed="false" customWidth="true" hidden="false" outlineLevel="0" max="14" min="14" style="0" width="48"/>
    <col collapsed="false" customWidth="true" hidden="false" outlineLevel="0" max="15" min="15" style="0" width="10"/>
    <col collapsed="false" customWidth="true" hidden="false" outlineLevel="0" max="16" min="16" style="0" width="12"/>
    <col collapsed="false" customWidth="true" hidden="false" outlineLevel="0" max="17" min="17" style="0" width="11"/>
    <col collapsed="false" customWidth="true" hidden="false" outlineLevel="0" max="18" min="18" style="0" width="8"/>
    <col collapsed="false" customWidth="true" hidden="false" outlineLevel="0" max="19" min="19" style="0" width="7"/>
    <col collapsed="false" customWidth="true" hidden="false" outlineLevel="0" max="20" min="20" style="0" width="11"/>
    <col collapsed="false" customWidth="true" hidden="false" outlineLevel="0" max="21" min="21" style="0" width="30"/>
    <col collapsed="false" customWidth="true" hidden="false" outlineLevel="0" max="22" min="22" style="0" width="12"/>
    <col collapsed="false" customWidth="true" hidden="false" outlineLevel="0" max="24" min="23" style="0" width="30"/>
    <col collapsed="false" customWidth="true" hidden="false" outlineLevel="0" max="25" min="25" style="0" width="12"/>
    <col collapsed="false" customWidth="true" hidden="false" outlineLevel="0" max="26" min="26" style="0" width="40"/>
    <col collapsed="false" customWidth="true" hidden="false" outlineLevel="0" max="27" min="27" style="0" width="36"/>
    <col collapsed="false" customWidth="true" hidden="false" outlineLevel="0" max="30" min="28" style="0" width="18"/>
    <col collapsed="false" customWidth="true" hidden="false" outlineLevel="0" max="31" min="31" style="0" width="14"/>
  </cols>
  <sheetData>
    <row r="1" customFormat="false" ht="17.35" hidden="false" customHeight="false" outlineLevel="0" collapsed="false">
      <c r="A1" s="1" t="s">
        <v>32</v>
      </c>
    </row>
    <row r="2" customFormat="false" ht="15" hidden="false" customHeight="false" outlineLevel="0" collapsed="false">
      <c r="A2" s="2" t="s">
        <v>33</v>
      </c>
    </row>
    <row r="4" customFormat="false" ht="31.5" hidden="false" customHeight="true" outlineLevel="0" collapsed="false">
      <c r="A4" s="3" t="s">
        <v>34</v>
      </c>
      <c r="B4" s="3" t="s">
        <v>35</v>
      </c>
      <c r="C4" s="3" t="s">
        <v>2</v>
      </c>
      <c r="D4" s="3" t="s">
        <v>36</v>
      </c>
      <c r="E4" s="3" t="s">
        <v>37</v>
      </c>
      <c r="F4" s="3" t="s">
        <v>38</v>
      </c>
      <c r="G4" s="3" t="s">
        <v>39</v>
      </c>
      <c r="H4" s="3" t="s">
        <v>40</v>
      </c>
      <c r="I4" s="3" t="s">
        <v>41</v>
      </c>
      <c r="J4" s="3" t="s">
        <v>42</v>
      </c>
      <c r="K4" s="3" t="s">
        <v>43</v>
      </c>
      <c r="L4" s="3" t="s">
        <v>44</v>
      </c>
      <c r="M4" s="3" t="s">
        <v>45</v>
      </c>
      <c r="N4" s="3" t="s">
        <v>46</v>
      </c>
      <c r="O4" s="3" t="s">
        <v>47</v>
      </c>
      <c r="P4" s="3" t="s">
        <v>48</v>
      </c>
      <c r="Q4" s="3" t="s">
        <v>49</v>
      </c>
      <c r="R4" s="3" t="s">
        <v>50</v>
      </c>
      <c r="S4" s="3" t="s">
        <v>7</v>
      </c>
      <c r="T4" s="3" t="s">
        <v>51</v>
      </c>
      <c r="U4" s="3" t="s">
        <v>52</v>
      </c>
      <c r="V4" s="3" t="s">
        <v>53</v>
      </c>
      <c r="W4" s="3" t="s">
        <v>54</v>
      </c>
      <c r="X4" s="3" t="s">
        <v>55</v>
      </c>
      <c r="Y4" s="3" t="s">
        <v>56</v>
      </c>
      <c r="Z4" s="3" t="s">
        <v>57</v>
      </c>
      <c r="AA4" s="3" t="s">
        <v>58</v>
      </c>
      <c r="AB4" s="3" t="s">
        <v>59</v>
      </c>
      <c r="AC4" s="3" t="s">
        <v>60</v>
      </c>
      <c r="AD4" s="3" t="s">
        <v>61</v>
      </c>
      <c r="AE4" s="3" t="s">
        <v>62</v>
      </c>
    </row>
    <row r="5" customFormat="false" ht="35.05" hidden="false" customHeight="false" outlineLevel="0" collapsed="false">
      <c r="A5" s="4" t="s">
        <v>63</v>
      </c>
      <c r="B5" s="4" t="s">
        <v>64</v>
      </c>
      <c r="C5" s="4" t="s">
        <v>12</v>
      </c>
      <c r="D5" s="4" t="s">
        <v>65</v>
      </c>
      <c r="E5" s="4" t="s">
        <v>66</v>
      </c>
      <c r="F5" s="4" t="s">
        <v>67</v>
      </c>
      <c r="G5" s="4" t="s">
        <v>68</v>
      </c>
      <c r="H5" s="11" t="s">
        <v>69</v>
      </c>
      <c r="I5" s="4" t="s">
        <v>70</v>
      </c>
      <c r="J5" s="4" t="s">
        <v>71</v>
      </c>
      <c r="K5" s="4" t="s">
        <v>72</v>
      </c>
      <c r="L5" s="4" t="s">
        <v>73</v>
      </c>
      <c r="M5" s="4" t="s">
        <v>74</v>
      </c>
      <c r="N5" s="4" t="s">
        <v>75</v>
      </c>
      <c r="O5" s="12" t="s">
        <v>76</v>
      </c>
      <c r="P5" s="12" t="s">
        <v>77</v>
      </c>
      <c r="Q5" s="4" t="s">
        <v>77</v>
      </c>
      <c r="R5" s="4" t="s">
        <v>78</v>
      </c>
      <c r="S5" s="4" t="s">
        <v>78</v>
      </c>
      <c r="T5" s="4" t="s">
        <v>79</v>
      </c>
      <c r="U5" s="4" t="s">
        <v>80</v>
      </c>
      <c r="V5" s="13" t="s">
        <v>9</v>
      </c>
      <c r="W5" s="4" t="s">
        <v>81</v>
      </c>
      <c r="X5" s="4"/>
      <c r="Y5" s="4"/>
      <c r="Z5" s="4"/>
      <c r="AA5" s="4" t="s">
        <v>82</v>
      </c>
      <c r="AB5" s="13" t="s">
        <v>83</v>
      </c>
      <c r="AC5" s="13" t="s">
        <v>83</v>
      </c>
      <c r="AD5" s="13" t="s">
        <v>83</v>
      </c>
      <c r="AE5" s="4"/>
    </row>
    <row r="6" customFormat="false" ht="35.05" hidden="false" customHeight="false" outlineLevel="0" collapsed="false">
      <c r="A6" s="4" t="s">
        <v>84</v>
      </c>
      <c r="B6" s="4" t="s">
        <v>85</v>
      </c>
      <c r="C6" s="4" t="s">
        <v>12</v>
      </c>
      <c r="D6" s="4" t="s">
        <v>86</v>
      </c>
      <c r="E6" s="4" t="s">
        <v>66</v>
      </c>
      <c r="F6" s="4" t="s">
        <v>87</v>
      </c>
      <c r="G6" s="4" t="s">
        <v>88</v>
      </c>
      <c r="H6" s="11" t="s">
        <v>89</v>
      </c>
      <c r="I6" s="4" t="s">
        <v>90</v>
      </c>
      <c r="J6" s="4" t="s">
        <v>71</v>
      </c>
      <c r="K6" s="4" t="s">
        <v>91</v>
      </c>
      <c r="L6" s="4" t="s">
        <v>92</v>
      </c>
      <c r="M6" s="4" t="s">
        <v>93</v>
      </c>
      <c r="N6" s="4" t="s">
        <v>94</v>
      </c>
      <c r="O6" s="14" t="s">
        <v>95</v>
      </c>
      <c r="P6" s="15" t="s">
        <v>5</v>
      </c>
      <c r="Q6" s="4" t="s">
        <v>77</v>
      </c>
      <c r="R6" s="4" t="s">
        <v>79</v>
      </c>
      <c r="S6" s="4" t="s">
        <v>79</v>
      </c>
      <c r="T6" s="4" t="s">
        <v>79</v>
      </c>
      <c r="U6" s="4" t="s">
        <v>80</v>
      </c>
      <c r="V6" s="13" t="s">
        <v>9</v>
      </c>
      <c r="W6" s="4" t="s">
        <v>81</v>
      </c>
      <c r="X6" s="4"/>
      <c r="Y6" s="4"/>
      <c r="Z6" s="4"/>
      <c r="AA6" s="4" t="s">
        <v>96</v>
      </c>
      <c r="AB6" s="15" t="s">
        <v>97</v>
      </c>
      <c r="AC6" s="13" t="s">
        <v>83</v>
      </c>
      <c r="AD6" s="15" t="s">
        <v>97</v>
      </c>
      <c r="AE6" s="4" t="s">
        <v>98</v>
      </c>
    </row>
    <row r="7" customFormat="false" ht="35.05" hidden="false" customHeight="false" outlineLevel="0" collapsed="false">
      <c r="A7" s="4" t="s">
        <v>99</v>
      </c>
      <c r="B7" s="4" t="s">
        <v>100</v>
      </c>
      <c r="C7" s="4" t="s">
        <v>12</v>
      </c>
      <c r="D7" s="4" t="s">
        <v>101</v>
      </c>
      <c r="E7" s="4" t="s">
        <v>66</v>
      </c>
      <c r="F7" s="4" t="s">
        <v>87</v>
      </c>
      <c r="G7" s="4"/>
      <c r="H7" s="11"/>
      <c r="I7" s="4" t="s">
        <v>90</v>
      </c>
      <c r="J7" s="4" t="s">
        <v>71</v>
      </c>
      <c r="K7" s="4" t="s">
        <v>102</v>
      </c>
      <c r="L7" s="4" t="s">
        <v>103</v>
      </c>
      <c r="M7" s="4" t="s">
        <v>104</v>
      </c>
      <c r="N7" s="4" t="s">
        <v>105</v>
      </c>
      <c r="O7" s="16" t="s">
        <v>106</v>
      </c>
      <c r="P7" s="15" t="s">
        <v>5</v>
      </c>
      <c r="Q7" s="4" t="s">
        <v>5</v>
      </c>
      <c r="R7" s="4" t="s">
        <v>79</v>
      </c>
      <c r="S7" s="4" t="s">
        <v>79</v>
      </c>
      <c r="T7" s="4" t="s">
        <v>79</v>
      </c>
      <c r="U7" s="4" t="s">
        <v>107</v>
      </c>
      <c r="V7" s="13" t="s">
        <v>9</v>
      </c>
      <c r="W7" s="4" t="s">
        <v>81</v>
      </c>
      <c r="X7" s="4"/>
      <c r="Y7" s="4"/>
      <c r="Z7" s="4"/>
      <c r="AA7" s="4" t="s">
        <v>108</v>
      </c>
      <c r="AB7" s="15" t="s">
        <v>97</v>
      </c>
      <c r="AC7" s="13" t="s">
        <v>83</v>
      </c>
      <c r="AD7" s="15" t="s">
        <v>97</v>
      </c>
      <c r="AE7" s="4"/>
    </row>
    <row r="8" customFormat="false" ht="35.05" hidden="false" customHeight="false" outlineLevel="0" collapsed="false">
      <c r="A8" s="4" t="s">
        <v>109</v>
      </c>
      <c r="B8" s="4" t="s">
        <v>110</v>
      </c>
      <c r="C8" s="4" t="s">
        <v>12</v>
      </c>
      <c r="D8" s="4" t="s">
        <v>111</v>
      </c>
      <c r="E8" s="4" t="s">
        <v>66</v>
      </c>
      <c r="F8" s="4" t="s">
        <v>112</v>
      </c>
      <c r="G8" s="4"/>
      <c r="H8" s="11"/>
      <c r="I8" s="4" t="s">
        <v>70</v>
      </c>
      <c r="J8" s="4" t="s">
        <v>71</v>
      </c>
      <c r="K8" s="4" t="s">
        <v>113</v>
      </c>
      <c r="L8" s="4" t="s">
        <v>114</v>
      </c>
      <c r="M8" s="4" t="s">
        <v>115</v>
      </c>
      <c r="N8" s="4" t="s">
        <v>116</v>
      </c>
      <c r="O8" s="14" t="s">
        <v>95</v>
      </c>
      <c r="P8" s="15" t="s">
        <v>5</v>
      </c>
      <c r="Q8" s="4" t="s">
        <v>77</v>
      </c>
      <c r="R8" s="4" t="s">
        <v>79</v>
      </c>
      <c r="S8" s="4" t="s">
        <v>78</v>
      </c>
      <c r="T8" s="4" t="s">
        <v>79</v>
      </c>
      <c r="U8" s="4" t="s">
        <v>107</v>
      </c>
      <c r="V8" s="13" t="s">
        <v>9</v>
      </c>
      <c r="W8" s="4" t="s">
        <v>81</v>
      </c>
      <c r="X8" s="4"/>
      <c r="Y8" s="4"/>
      <c r="Z8" s="4"/>
      <c r="AA8" s="4" t="s">
        <v>117</v>
      </c>
      <c r="AB8" s="13" t="s">
        <v>83</v>
      </c>
      <c r="AC8" s="14" t="s">
        <v>118</v>
      </c>
      <c r="AD8" s="13" t="s">
        <v>83</v>
      </c>
      <c r="AE8" s="4" t="s">
        <v>98</v>
      </c>
    </row>
    <row r="9" customFormat="false" ht="23.85" hidden="false" customHeight="false" outlineLevel="0" collapsed="false">
      <c r="A9" s="4" t="s">
        <v>119</v>
      </c>
      <c r="B9" s="4" t="s">
        <v>120</v>
      </c>
      <c r="C9" s="4" t="s">
        <v>12</v>
      </c>
      <c r="D9" s="4" t="s">
        <v>121</v>
      </c>
      <c r="E9" s="4" t="s">
        <v>66</v>
      </c>
      <c r="F9" s="4" t="s">
        <v>122</v>
      </c>
      <c r="G9" s="4"/>
      <c r="H9" s="11"/>
      <c r="I9" s="4" t="s">
        <v>123</v>
      </c>
      <c r="J9" s="4" t="s">
        <v>71</v>
      </c>
      <c r="K9" s="4" t="s">
        <v>124</v>
      </c>
      <c r="L9" s="4" t="s">
        <v>125</v>
      </c>
      <c r="M9" s="4" t="s">
        <v>104</v>
      </c>
      <c r="N9" s="4" t="s">
        <v>126</v>
      </c>
      <c r="O9" s="12" t="s">
        <v>76</v>
      </c>
      <c r="P9" s="12" t="s">
        <v>77</v>
      </c>
      <c r="Q9" s="4" t="s">
        <v>77</v>
      </c>
      <c r="R9" s="4" t="s">
        <v>78</v>
      </c>
      <c r="S9" s="4" t="s">
        <v>78</v>
      </c>
      <c r="T9" s="4" t="s">
        <v>79</v>
      </c>
      <c r="U9" s="4" t="s">
        <v>107</v>
      </c>
      <c r="V9" s="13" t="s">
        <v>9</v>
      </c>
      <c r="W9" s="4" t="s">
        <v>81</v>
      </c>
      <c r="X9" s="4"/>
      <c r="Y9" s="4"/>
      <c r="Z9" s="4"/>
      <c r="AA9" s="4" t="s">
        <v>127</v>
      </c>
      <c r="AB9" s="13" t="s">
        <v>83</v>
      </c>
      <c r="AC9" s="13" t="s">
        <v>83</v>
      </c>
      <c r="AD9" s="13" t="s">
        <v>83</v>
      </c>
      <c r="AE9" s="4"/>
    </row>
    <row r="10" customFormat="false" ht="46.25" hidden="false" customHeight="false" outlineLevel="0" collapsed="false">
      <c r="A10" s="4" t="s">
        <v>128</v>
      </c>
      <c r="B10" s="4" t="s">
        <v>129</v>
      </c>
      <c r="C10" s="4" t="s">
        <v>12</v>
      </c>
      <c r="D10" s="4" t="s">
        <v>130</v>
      </c>
      <c r="E10" s="4" t="s">
        <v>66</v>
      </c>
      <c r="F10" s="4" t="s">
        <v>87</v>
      </c>
      <c r="G10" s="4" t="s">
        <v>88</v>
      </c>
      <c r="H10" s="11" t="s">
        <v>89</v>
      </c>
      <c r="I10" s="4" t="s">
        <v>90</v>
      </c>
      <c r="J10" s="4" t="s">
        <v>71</v>
      </c>
      <c r="K10" s="4" t="s">
        <v>131</v>
      </c>
      <c r="L10" s="4" t="s">
        <v>132</v>
      </c>
      <c r="M10" s="4" t="s">
        <v>133</v>
      </c>
      <c r="N10" s="4" t="s">
        <v>134</v>
      </c>
      <c r="O10" s="14" t="s">
        <v>95</v>
      </c>
      <c r="P10" s="12" t="s">
        <v>77</v>
      </c>
      <c r="Q10" s="4" t="s">
        <v>77</v>
      </c>
      <c r="R10" s="4" t="s">
        <v>78</v>
      </c>
      <c r="S10" s="4" t="s">
        <v>79</v>
      </c>
      <c r="T10" s="4" t="s">
        <v>79</v>
      </c>
      <c r="U10" s="4" t="s">
        <v>80</v>
      </c>
      <c r="V10" s="13" t="s">
        <v>9</v>
      </c>
      <c r="W10" s="4" t="s">
        <v>81</v>
      </c>
      <c r="X10" s="4"/>
      <c r="Y10" s="4"/>
      <c r="Z10" s="4"/>
      <c r="AA10" s="4" t="s">
        <v>135</v>
      </c>
      <c r="AB10" s="15" t="s">
        <v>97</v>
      </c>
      <c r="AC10" s="15" t="s">
        <v>136</v>
      </c>
      <c r="AD10" s="15" t="s">
        <v>97</v>
      </c>
      <c r="AE10" s="4"/>
    </row>
    <row r="11" customFormat="false" ht="57.45" hidden="false" customHeight="false" outlineLevel="0" collapsed="false">
      <c r="A11" s="4" t="s">
        <v>137</v>
      </c>
      <c r="B11" s="4" t="s">
        <v>138</v>
      </c>
      <c r="C11" s="4" t="s">
        <v>12</v>
      </c>
      <c r="D11" s="4" t="s">
        <v>139</v>
      </c>
      <c r="E11" s="4" t="s">
        <v>66</v>
      </c>
      <c r="F11" s="4" t="s">
        <v>140</v>
      </c>
      <c r="G11" s="4" t="s">
        <v>88</v>
      </c>
      <c r="H11" s="11" t="s">
        <v>89</v>
      </c>
      <c r="I11" s="4" t="s">
        <v>141</v>
      </c>
      <c r="J11" s="4" t="s">
        <v>142</v>
      </c>
      <c r="K11" s="4" t="s">
        <v>143</v>
      </c>
      <c r="L11" s="4" t="s">
        <v>144</v>
      </c>
      <c r="M11" s="4" t="s">
        <v>145</v>
      </c>
      <c r="N11" s="4" t="s">
        <v>146</v>
      </c>
      <c r="O11" s="14" t="s">
        <v>95</v>
      </c>
      <c r="P11" s="15" t="s">
        <v>5</v>
      </c>
      <c r="Q11" s="4" t="s">
        <v>77</v>
      </c>
      <c r="R11" s="4" t="s">
        <v>79</v>
      </c>
      <c r="S11" s="4" t="s">
        <v>79</v>
      </c>
      <c r="T11" s="4" t="s">
        <v>79</v>
      </c>
      <c r="U11" s="4" t="s">
        <v>80</v>
      </c>
      <c r="V11" s="13" t="s">
        <v>9</v>
      </c>
      <c r="W11" s="4" t="s">
        <v>81</v>
      </c>
      <c r="X11" s="4" t="s">
        <v>147</v>
      </c>
      <c r="Y11" s="4"/>
      <c r="Z11" s="4"/>
      <c r="AA11" s="4" t="s">
        <v>148</v>
      </c>
      <c r="AB11" s="15" t="s">
        <v>97</v>
      </c>
      <c r="AC11" s="15" t="s">
        <v>136</v>
      </c>
      <c r="AD11" s="15" t="s">
        <v>97</v>
      </c>
      <c r="AE11" s="4"/>
    </row>
    <row r="12" customFormat="false" ht="57.45" hidden="false" customHeight="false" outlineLevel="0" collapsed="false">
      <c r="A12" s="4" t="s">
        <v>149</v>
      </c>
      <c r="B12" s="4" t="s">
        <v>150</v>
      </c>
      <c r="C12" s="4" t="s">
        <v>12</v>
      </c>
      <c r="D12" s="4" t="s">
        <v>151</v>
      </c>
      <c r="E12" s="4" t="s">
        <v>66</v>
      </c>
      <c r="F12" s="4" t="s">
        <v>152</v>
      </c>
      <c r="G12" s="4" t="s">
        <v>153</v>
      </c>
      <c r="H12" s="11"/>
      <c r="I12" s="4" t="s">
        <v>90</v>
      </c>
      <c r="J12" s="4" t="s">
        <v>71</v>
      </c>
      <c r="K12" s="4" t="s">
        <v>154</v>
      </c>
      <c r="L12" s="4" t="s">
        <v>155</v>
      </c>
      <c r="M12" s="4" t="s">
        <v>156</v>
      </c>
      <c r="N12" s="4" t="s">
        <v>157</v>
      </c>
      <c r="O12" s="16" t="s">
        <v>106</v>
      </c>
      <c r="P12" s="15" t="s">
        <v>5</v>
      </c>
      <c r="Q12" s="4" t="s">
        <v>5</v>
      </c>
      <c r="R12" s="4" t="s">
        <v>79</v>
      </c>
      <c r="S12" s="4" t="s">
        <v>79</v>
      </c>
      <c r="T12" s="4" t="s">
        <v>79</v>
      </c>
      <c r="U12" s="4" t="s">
        <v>80</v>
      </c>
      <c r="V12" s="13" t="s">
        <v>9</v>
      </c>
      <c r="W12" s="4" t="s">
        <v>81</v>
      </c>
      <c r="X12" s="4" t="s">
        <v>158</v>
      </c>
      <c r="Y12" s="4" t="s">
        <v>159</v>
      </c>
      <c r="Z12" s="4"/>
      <c r="AA12" s="4" t="s">
        <v>96</v>
      </c>
      <c r="AB12" s="15" t="s">
        <v>97</v>
      </c>
      <c r="AC12" s="15" t="s">
        <v>136</v>
      </c>
      <c r="AD12" s="15" t="s">
        <v>97</v>
      </c>
      <c r="AE12" s="4"/>
    </row>
    <row r="13" customFormat="false" ht="46.25" hidden="false" customHeight="false" outlineLevel="0" collapsed="false">
      <c r="A13" s="4" t="s">
        <v>160</v>
      </c>
      <c r="B13" s="4" t="s">
        <v>161</v>
      </c>
      <c r="C13" s="4" t="s">
        <v>12</v>
      </c>
      <c r="D13" s="4" t="s">
        <v>162</v>
      </c>
      <c r="E13" s="4" t="s">
        <v>163</v>
      </c>
      <c r="F13" s="4" t="s">
        <v>67</v>
      </c>
      <c r="G13" s="4"/>
      <c r="H13" s="11"/>
      <c r="I13" s="4" t="s">
        <v>70</v>
      </c>
      <c r="J13" s="4" t="s">
        <v>71</v>
      </c>
      <c r="K13" s="4" t="s">
        <v>164</v>
      </c>
      <c r="L13" s="4" t="s">
        <v>165</v>
      </c>
      <c r="M13" s="4" t="s">
        <v>166</v>
      </c>
      <c r="N13" s="4" t="s">
        <v>167</v>
      </c>
      <c r="O13" s="14" t="s">
        <v>95</v>
      </c>
      <c r="P13" s="15" t="s">
        <v>5</v>
      </c>
      <c r="Q13" s="4" t="s">
        <v>5</v>
      </c>
      <c r="R13" s="4" t="s">
        <v>79</v>
      </c>
      <c r="S13" s="4" t="s">
        <v>79</v>
      </c>
      <c r="T13" s="4" t="s">
        <v>79</v>
      </c>
      <c r="U13" s="4" t="s">
        <v>107</v>
      </c>
      <c r="V13" s="13" t="s">
        <v>9</v>
      </c>
      <c r="W13" s="4" t="s">
        <v>81</v>
      </c>
      <c r="X13" s="4" t="s">
        <v>168</v>
      </c>
      <c r="Y13" s="4" t="s">
        <v>169</v>
      </c>
      <c r="Z13" s="4"/>
      <c r="AA13" s="4" t="s">
        <v>108</v>
      </c>
      <c r="AB13" s="15" t="s">
        <v>97</v>
      </c>
      <c r="AC13" s="15" t="s">
        <v>136</v>
      </c>
      <c r="AD13" s="15" t="s">
        <v>97</v>
      </c>
      <c r="AE13" s="4"/>
    </row>
    <row r="14" customFormat="false" ht="35.05" hidden="false" customHeight="false" outlineLevel="0" collapsed="false">
      <c r="A14" s="4" t="s">
        <v>170</v>
      </c>
      <c r="B14" s="4" t="s">
        <v>171</v>
      </c>
      <c r="C14" s="4" t="s">
        <v>12</v>
      </c>
      <c r="D14" s="4" t="s">
        <v>172</v>
      </c>
      <c r="E14" s="4" t="s">
        <v>173</v>
      </c>
      <c r="F14" s="4" t="s">
        <v>67</v>
      </c>
      <c r="G14" s="4"/>
      <c r="H14" s="11"/>
      <c r="I14" s="4" t="s">
        <v>70</v>
      </c>
      <c r="J14" s="4" t="s">
        <v>71</v>
      </c>
      <c r="K14" s="4" t="s">
        <v>174</v>
      </c>
      <c r="L14" s="4" t="s">
        <v>175</v>
      </c>
      <c r="M14" s="4" t="s">
        <v>176</v>
      </c>
      <c r="N14" s="4" t="s">
        <v>177</v>
      </c>
      <c r="O14" s="14" t="s">
        <v>95</v>
      </c>
      <c r="P14" s="15" t="s">
        <v>5</v>
      </c>
      <c r="Q14" s="4" t="s">
        <v>5</v>
      </c>
      <c r="R14" s="4" t="s">
        <v>79</v>
      </c>
      <c r="S14" s="4" t="s">
        <v>78</v>
      </c>
      <c r="T14" s="4" t="s">
        <v>79</v>
      </c>
      <c r="U14" s="4" t="s">
        <v>80</v>
      </c>
      <c r="V14" s="13" t="s">
        <v>9</v>
      </c>
      <c r="W14" s="4" t="s">
        <v>81</v>
      </c>
      <c r="X14" s="4"/>
      <c r="Y14" s="4"/>
      <c r="Z14" s="4"/>
      <c r="AA14" s="4" t="s">
        <v>117</v>
      </c>
      <c r="AB14" s="13" t="s">
        <v>83</v>
      </c>
      <c r="AC14" s="13" t="s">
        <v>83</v>
      </c>
      <c r="AD14" s="13" t="s">
        <v>83</v>
      </c>
      <c r="AE14" s="4"/>
    </row>
    <row r="15" customFormat="false" ht="35.05" hidden="false" customHeight="false" outlineLevel="0" collapsed="false">
      <c r="A15" s="4" t="s">
        <v>178</v>
      </c>
      <c r="B15" s="4" t="s">
        <v>179</v>
      </c>
      <c r="C15" s="4" t="s">
        <v>12</v>
      </c>
      <c r="D15" s="4" t="s">
        <v>180</v>
      </c>
      <c r="E15" s="4" t="s">
        <v>163</v>
      </c>
      <c r="F15" s="4" t="s">
        <v>112</v>
      </c>
      <c r="G15" s="4"/>
      <c r="H15" s="11"/>
      <c r="I15" s="4" t="s">
        <v>141</v>
      </c>
      <c r="J15" s="4" t="s">
        <v>71</v>
      </c>
      <c r="K15" s="4" t="s">
        <v>113</v>
      </c>
      <c r="L15" s="4" t="s">
        <v>181</v>
      </c>
      <c r="M15" s="4" t="s">
        <v>182</v>
      </c>
      <c r="N15" s="4" t="s">
        <v>183</v>
      </c>
      <c r="O15" s="14" t="s">
        <v>95</v>
      </c>
      <c r="P15" s="15" t="s">
        <v>5</v>
      </c>
      <c r="Q15" s="4" t="s">
        <v>5</v>
      </c>
      <c r="R15" s="4" t="s">
        <v>79</v>
      </c>
      <c r="S15" s="4" t="s">
        <v>79</v>
      </c>
      <c r="T15" s="4" t="s">
        <v>79</v>
      </c>
      <c r="U15" s="4" t="s">
        <v>107</v>
      </c>
      <c r="V15" s="13" t="s">
        <v>9</v>
      </c>
      <c r="W15" s="4" t="s">
        <v>81</v>
      </c>
      <c r="X15" s="4" t="s">
        <v>184</v>
      </c>
      <c r="Y15" s="4" t="s">
        <v>185</v>
      </c>
      <c r="Z15" s="4"/>
      <c r="AA15" s="4" t="s">
        <v>108</v>
      </c>
      <c r="AB15" s="15" t="s">
        <v>97</v>
      </c>
      <c r="AC15" s="15" t="s">
        <v>136</v>
      </c>
      <c r="AD15" s="15" t="s">
        <v>97</v>
      </c>
      <c r="AE15" s="4"/>
    </row>
    <row r="16" customFormat="false" ht="46.25" hidden="false" customHeight="false" outlineLevel="0" collapsed="false">
      <c r="A16" s="4" t="s">
        <v>186</v>
      </c>
      <c r="B16" s="4" t="s">
        <v>187</v>
      </c>
      <c r="C16" s="4" t="s">
        <v>12</v>
      </c>
      <c r="D16" s="4" t="s">
        <v>188</v>
      </c>
      <c r="E16" s="4" t="s">
        <v>163</v>
      </c>
      <c r="F16" s="4" t="s">
        <v>152</v>
      </c>
      <c r="G16" s="4"/>
      <c r="H16" s="11"/>
      <c r="I16" s="4" t="s">
        <v>70</v>
      </c>
      <c r="J16" s="4" t="s">
        <v>71</v>
      </c>
      <c r="K16" s="4" t="s">
        <v>102</v>
      </c>
      <c r="L16" s="4" t="s">
        <v>189</v>
      </c>
      <c r="M16" s="4" t="s">
        <v>74</v>
      </c>
      <c r="N16" s="4" t="s">
        <v>190</v>
      </c>
      <c r="O16" s="13" t="s">
        <v>191</v>
      </c>
      <c r="P16" s="15" t="s">
        <v>6</v>
      </c>
      <c r="Q16" s="4" t="s">
        <v>6</v>
      </c>
      <c r="R16" s="4" t="s">
        <v>79</v>
      </c>
      <c r="S16" s="4" t="s">
        <v>79</v>
      </c>
      <c r="T16" s="4" t="s">
        <v>79</v>
      </c>
      <c r="U16" s="4" t="s">
        <v>107</v>
      </c>
      <c r="V16" s="13" t="s">
        <v>9</v>
      </c>
      <c r="W16" s="4" t="s">
        <v>81</v>
      </c>
      <c r="X16" s="4"/>
      <c r="Y16" s="4"/>
      <c r="Z16" s="4"/>
      <c r="AA16" s="4" t="s">
        <v>192</v>
      </c>
      <c r="AB16" s="15" t="s">
        <v>97</v>
      </c>
      <c r="AC16" s="13" t="s">
        <v>83</v>
      </c>
      <c r="AD16" s="15" t="s">
        <v>97</v>
      </c>
      <c r="AE16" s="4"/>
    </row>
    <row r="17" customFormat="false" ht="35.05" hidden="false" customHeight="false" outlineLevel="0" collapsed="false">
      <c r="A17" s="4" t="s">
        <v>193</v>
      </c>
      <c r="B17" s="4" t="s">
        <v>194</v>
      </c>
      <c r="C17" s="4" t="s">
        <v>12</v>
      </c>
      <c r="D17" s="4" t="s">
        <v>195</v>
      </c>
      <c r="E17" s="4" t="s">
        <v>173</v>
      </c>
      <c r="F17" s="4" t="s">
        <v>152</v>
      </c>
      <c r="G17" s="4"/>
      <c r="H17" s="11"/>
      <c r="I17" s="4" t="s">
        <v>90</v>
      </c>
      <c r="J17" s="4" t="s">
        <v>71</v>
      </c>
      <c r="K17" s="4" t="s">
        <v>154</v>
      </c>
      <c r="L17" s="4" t="s">
        <v>196</v>
      </c>
      <c r="M17" s="4" t="s">
        <v>197</v>
      </c>
      <c r="N17" s="4" t="s">
        <v>198</v>
      </c>
      <c r="O17" s="14" t="s">
        <v>95</v>
      </c>
      <c r="P17" s="15" t="s">
        <v>5</v>
      </c>
      <c r="Q17" s="4" t="s">
        <v>5</v>
      </c>
      <c r="R17" s="4" t="s">
        <v>79</v>
      </c>
      <c r="S17" s="4" t="s">
        <v>79</v>
      </c>
      <c r="T17" s="4" t="s">
        <v>79</v>
      </c>
      <c r="U17" s="4" t="s">
        <v>107</v>
      </c>
      <c r="V17" s="13" t="s">
        <v>9</v>
      </c>
      <c r="W17" s="4" t="s">
        <v>81</v>
      </c>
      <c r="X17" s="4" t="s">
        <v>199</v>
      </c>
      <c r="Y17" s="4" t="s">
        <v>169</v>
      </c>
      <c r="Z17" s="4"/>
      <c r="AA17" s="4" t="s">
        <v>108</v>
      </c>
      <c r="AB17" s="15" t="s">
        <v>97</v>
      </c>
      <c r="AC17" s="15" t="s">
        <v>136</v>
      </c>
      <c r="AD17" s="15" t="s">
        <v>97</v>
      </c>
      <c r="AE17" s="4"/>
    </row>
    <row r="18" customFormat="false" ht="46.25" hidden="false" customHeight="false" outlineLevel="0" collapsed="false">
      <c r="A18" s="4" t="s">
        <v>200</v>
      </c>
      <c r="B18" s="4" t="s">
        <v>201</v>
      </c>
      <c r="C18" s="4" t="s">
        <v>12</v>
      </c>
      <c r="D18" s="4" t="s">
        <v>202</v>
      </c>
      <c r="E18" s="4" t="s">
        <v>173</v>
      </c>
      <c r="F18" s="4" t="s">
        <v>152</v>
      </c>
      <c r="G18" s="4" t="s">
        <v>153</v>
      </c>
      <c r="H18" s="11"/>
      <c r="I18" s="4" t="s">
        <v>90</v>
      </c>
      <c r="J18" s="4" t="s">
        <v>71</v>
      </c>
      <c r="K18" s="4" t="s">
        <v>203</v>
      </c>
      <c r="L18" s="4" t="s">
        <v>204</v>
      </c>
      <c r="M18" s="4" t="s">
        <v>205</v>
      </c>
      <c r="N18" s="4" t="s">
        <v>206</v>
      </c>
      <c r="O18" s="16" t="s">
        <v>106</v>
      </c>
      <c r="P18" s="15" t="s">
        <v>5</v>
      </c>
      <c r="Q18" s="4" t="s">
        <v>5</v>
      </c>
      <c r="R18" s="4" t="s">
        <v>79</v>
      </c>
      <c r="S18" s="4" t="s">
        <v>79</v>
      </c>
      <c r="T18" s="4" t="s">
        <v>79</v>
      </c>
      <c r="U18" s="4" t="s">
        <v>80</v>
      </c>
      <c r="V18" s="13" t="s">
        <v>9</v>
      </c>
      <c r="W18" s="4" t="s">
        <v>81</v>
      </c>
      <c r="X18" s="4" t="s">
        <v>207</v>
      </c>
      <c r="Y18" s="4"/>
      <c r="Z18" s="4"/>
      <c r="AA18" s="4" t="s">
        <v>96</v>
      </c>
      <c r="AB18" s="15" t="s">
        <v>97</v>
      </c>
      <c r="AC18" s="15" t="s">
        <v>136</v>
      </c>
      <c r="AD18" s="15" t="s">
        <v>97</v>
      </c>
      <c r="AE18" s="4"/>
    </row>
    <row r="19" customFormat="false" ht="23.85" hidden="false" customHeight="false" outlineLevel="0" collapsed="false">
      <c r="A19" s="4" t="s">
        <v>208</v>
      </c>
      <c r="B19" s="4" t="s">
        <v>209</v>
      </c>
      <c r="C19" s="4" t="s">
        <v>13</v>
      </c>
      <c r="D19" s="4" t="s">
        <v>210</v>
      </c>
      <c r="E19" s="4" t="s">
        <v>66</v>
      </c>
      <c r="F19" s="4" t="s">
        <v>211</v>
      </c>
      <c r="G19" s="4"/>
      <c r="H19" s="11"/>
      <c r="I19" s="4" t="s">
        <v>70</v>
      </c>
      <c r="J19" s="4" t="s">
        <v>71</v>
      </c>
      <c r="K19" s="4" t="s">
        <v>113</v>
      </c>
      <c r="L19" s="4" t="s">
        <v>212</v>
      </c>
      <c r="M19" s="4" t="s">
        <v>115</v>
      </c>
      <c r="N19" s="4" t="s">
        <v>213</v>
      </c>
      <c r="O19" s="14" t="s">
        <v>95</v>
      </c>
      <c r="P19" s="15" t="s">
        <v>5</v>
      </c>
      <c r="Q19" s="4" t="s">
        <v>77</v>
      </c>
      <c r="R19" s="4" t="s">
        <v>79</v>
      </c>
      <c r="S19" s="4" t="s">
        <v>78</v>
      </c>
      <c r="T19" s="4" t="s">
        <v>79</v>
      </c>
      <c r="U19" s="4" t="s">
        <v>107</v>
      </c>
      <c r="V19" s="13" t="s">
        <v>9</v>
      </c>
      <c r="W19" s="4" t="s">
        <v>214</v>
      </c>
      <c r="X19" s="4"/>
      <c r="Y19" s="4"/>
      <c r="Z19" s="4"/>
      <c r="AA19" s="4" t="s">
        <v>215</v>
      </c>
      <c r="AB19" s="13" t="s">
        <v>83</v>
      </c>
      <c r="AC19" s="14" t="s">
        <v>118</v>
      </c>
      <c r="AD19" s="13" t="s">
        <v>83</v>
      </c>
      <c r="AE19" s="4" t="s">
        <v>98</v>
      </c>
    </row>
    <row r="20" customFormat="false" ht="35.05" hidden="false" customHeight="false" outlineLevel="0" collapsed="false">
      <c r="A20" s="4" t="s">
        <v>216</v>
      </c>
      <c r="B20" s="4" t="s">
        <v>217</v>
      </c>
      <c r="C20" s="4" t="s">
        <v>13</v>
      </c>
      <c r="D20" s="4" t="s">
        <v>218</v>
      </c>
      <c r="E20" s="4" t="s">
        <v>66</v>
      </c>
      <c r="F20" s="4" t="s">
        <v>219</v>
      </c>
      <c r="G20" s="4"/>
      <c r="H20" s="11"/>
      <c r="I20" s="4" t="s">
        <v>123</v>
      </c>
      <c r="J20" s="4" t="s">
        <v>142</v>
      </c>
      <c r="K20" s="4" t="s">
        <v>220</v>
      </c>
      <c r="L20" s="4" t="s">
        <v>221</v>
      </c>
      <c r="M20" s="4" t="s">
        <v>222</v>
      </c>
      <c r="N20" s="4" t="s">
        <v>223</v>
      </c>
      <c r="O20" s="12" t="s">
        <v>76</v>
      </c>
      <c r="P20" s="12" t="s">
        <v>77</v>
      </c>
      <c r="Q20" s="4" t="s">
        <v>77</v>
      </c>
      <c r="R20" s="4" t="s">
        <v>78</v>
      </c>
      <c r="S20" s="4" t="s">
        <v>79</v>
      </c>
      <c r="T20" s="4" t="s">
        <v>79</v>
      </c>
      <c r="U20" s="4" t="s">
        <v>107</v>
      </c>
      <c r="V20" s="13" t="s">
        <v>9</v>
      </c>
      <c r="W20" s="4" t="s">
        <v>214</v>
      </c>
      <c r="X20" s="4" t="s">
        <v>224</v>
      </c>
      <c r="Y20" s="4"/>
      <c r="Z20" s="4"/>
      <c r="AA20" s="4" t="s">
        <v>225</v>
      </c>
      <c r="AB20" s="15" t="s">
        <v>97</v>
      </c>
      <c r="AC20" s="15" t="s">
        <v>136</v>
      </c>
      <c r="AD20" s="15" t="s">
        <v>97</v>
      </c>
      <c r="AE20" s="4"/>
    </row>
    <row r="21" customFormat="false" ht="57.45" hidden="false" customHeight="false" outlineLevel="0" collapsed="false">
      <c r="A21" s="4" t="s">
        <v>226</v>
      </c>
      <c r="B21" s="4" t="s">
        <v>227</v>
      </c>
      <c r="C21" s="4" t="s">
        <v>13</v>
      </c>
      <c r="D21" s="4" t="s">
        <v>228</v>
      </c>
      <c r="E21" s="4" t="s">
        <v>66</v>
      </c>
      <c r="F21" s="4" t="s">
        <v>211</v>
      </c>
      <c r="G21" s="4"/>
      <c r="H21" s="11"/>
      <c r="I21" s="4" t="s">
        <v>70</v>
      </c>
      <c r="J21" s="4" t="s">
        <v>71</v>
      </c>
      <c r="K21" s="4" t="s">
        <v>229</v>
      </c>
      <c r="L21" s="4" t="s">
        <v>230</v>
      </c>
      <c r="M21" s="4" t="s">
        <v>231</v>
      </c>
      <c r="N21" s="4" t="s">
        <v>232</v>
      </c>
      <c r="O21" s="13" t="s">
        <v>191</v>
      </c>
      <c r="P21" s="15" t="s">
        <v>6</v>
      </c>
      <c r="Q21" s="4" t="s">
        <v>6</v>
      </c>
      <c r="R21" s="4" t="s">
        <v>79</v>
      </c>
      <c r="S21" s="4" t="s">
        <v>79</v>
      </c>
      <c r="T21" s="4" t="s">
        <v>79</v>
      </c>
      <c r="U21" s="4" t="s">
        <v>107</v>
      </c>
      <c r="V21" s="13" t="s">
        <v>9</v>
      </c>
      <c r="W21" s="4" t="s">
        <v>214</v>
      </c>
      <c r="X21" s="4" t="s">
        <v>233</v>
      </c>
      <c r="Y21" s="4"/>
      <c r="Z21" s="4"/>
      <c r="AA21" s="4" t="s">
        <v>234</v>
      </c>
      <c r="AB21" s="15" t="s">
        <v>97</v>
      </c>
      <c r="AC21" s="15" t="s">
        <v>136</v>
      </c>
      <c r="AD21" s="15" t="s">
        <v>97</v>
      </c>
      <c r="AE21" s="4" t="s">
        <v>235</v>
      </c>
    </row>
    <row r="22" customFormat="false" ht="57.45" hidden="false" customHeight="false" outlineLevel="0" collapsed="false">
      <c r="A22" s="4" t="s">
        <v>236</v>
      </c>
      <c r="B22" s="4" t="s">
        <v>237</v>
      </c>
      <c r="C22" s="4" t="s">
        <v>13</v>
      </c>
      <c r="D22" s="4" t="s">
        <v>238</v>
      </c>
      <c r="E22" s="4" t="s">
        <v>66</v>
      </c>
      <c r="F22" s="4" t="s">
        <v>239</v>
      </c>
      <c r="G22" s="4" t="s">
        <v>240</v>
      </c>
      <c r="H22" s="11" t="s">
        <v>241</v>
      </c>
      <c r="I22" s="4" t="s">
        <v>70</v>
      </c>
      <c r="J22" s="4" t="s">
        <v>71</v>
      </c>
      <c r="K22" s="4" t="s">
        <v>242</v>
      </c>
      <c r="L22" s="4" t="s">
        <v>243</v>
      </c>
      <c r="M22" s="4" t="s">
        <v>115</v>
      </c>
      <c r="N22" s="4" t="s">
        <v>244</v>
      </c>
      <c r="O22" s="14" t="s">
        <v>95</v>
      </c>
      <c r="P22" s="15" t="s">
        <v>5</v>
      </c>
      <c r="Q22" s="4" t="s">
        <v>5</v>
      </c>
      <c r="R22" s="4" t="s">
        <v>79</v>
      </c>
      <c r="S22" s="4" t="s">
        <v>79</v>
      </c>
      <c r="T22" s="4" t="s">
        <v>79</v>
      </c>
      <c r="U22" s="4" t="s">
        <v>80</v>
      </c>
      <c r="V22" s="13" t="s">
        <v>9</v>
      </c>
      <c r="W22" s="4" t="s">
        <v>214</v>
      </c>
      <c r="X22" s="4"/>
      <c r="Y22" s="4"/>
      <c r="Z22" s="4"/>
      <c r="AA22" s="4" t="s">
        <v>245</v>
      </c>
      <c r="AB22" s="15" t="s">
        <v>97</v>
      </c>
      <c r="AC22" s="15" t="s">
        <v>136</v>
      </c>
      <c r="AD22" s="15" t="s">
        <v>97</v>
      </c>
      <c r="AE22" s="4"/>
    </row>
    <row r="23" customFormat="false" ht="46.25" hidden="false" customHeight="false" outlineLevel="0" collapsed="false">
      <c r="A23" s="4" t="s">
        <v>246</v>
      </c>
      <c r="B23" s="4" t="s">
        <v>247</v>
      </c>
      <c r="C23" s="4" t="s">
        <v>13</v>
      </c>
      <c r="D23" s="4" t="s">
        <v>248</v>
      </c>
      <c r="E23" s="4" t="s">
        <v>66</v>
      </c>
      <c r="F23" s="4" t="s">
        <v>211</v>
      </c>
      <c r="G23" s="4"/>
      <c r="H23" s="11"/>
      <c r="I23" s="4" t="s">
        <v>70</v>
      </c>
      <c r="J23" s="4" t="s">
        <v>71</v>
      </c>
      <c r="K23" s="4" t="s">
        <v>113</v>
      </c>
      <c r="L23" s="4" t="s">
        <v>249</v>
      </c>
      <c r="M23" s="4" t="s">
        <v>115</v>
      </c>
      <c r="N23" s="4" t="s">
        <v>250</v>
      </c>
      <c r="O23" s="16" t="s">
        <v>106</v>
      </c>
      <c r="P23" s="15" t="s">
        <v>5</v>
      </c>
      <c r="Q23" s="4" t="s">
        <v>5</v>
      </c>
      <c r="R23" s="4" t="s">
        <v>79</v>
      </c>
      <c r="S23" s="4" t="s">
        <v>79</v>
      </c>
      <c r="T23" s="4" t="s">
        <v>79</v>
      </c>
      <c r="U23" s="4" t="s">
        <v>107</v>
      </c>
      <c r="V23" s="13" t="s">
        <v>9</v>
      </c>
      <c r="W23" s="4" t="s">
        <v>214</v>
      </c>
      <c r="X23" s="4"/>
      <c r="Y23" s="4"/>
      <c r="Z23" s="4"/>
      <c r="AA23" s="4" t="s">
        <v>251</v>
      </c>
      <c r="AB23" s="15" t="s">
        <v>97</v>
      </c>
      <c r="AC23" s="15" t="s">
        <v>136</v>
      </c>
      <c r="AD23" s="15" t="s">
        <v>97</v>
      </c>
      <c r="AE23" s="4" t="s">
        <v>252</v>
      </c>
    </row>
    <row r="24" customFormat="false" ht="35.05" hidden="false" customHeight="false" outlineLevel="0" collapsed="false">
      <c r="A24" s="4" t="s">
        <v>253</v>
      </c>
      <c r="B24" s="4" t="s">
        <v>254</v>
      </c>
      <c r="C24" s="4" t="s">
        <v>13</v>
      </c>
      <c r="D24" s="4" t="s">
        <v>255</v>
      </c>
      <c r="E24" s="4" t="s">
        <v>66</v>
      </c>
      <c r="F24" s="4" t="s">
        <v>211</v>
      </c>
      <c r="G24" s="4" t="s">
        <v>256</v>
      </c>
      <c r="H24" s="11" t="s">
        <v>257</v>
      </c>
      <c r="I24" s="4" t="s">
        <v>258</v>
      </c>
      <c r="J24" s="4" t="s">
        <v>142</v>
      </c>
      <c r="K24" s="4" t="s">
        <v>113</v>
      </c>
      <c r="L24" s="4" t="s">
        <v>259</v>
      </c>
      <c r="M24" s="4" t="s">
        <v>115</v>
      </c>
      <c r="N24" s="4" t="s">
        <v>260</v>
      </c>
      <c r="O24" s="14" t="s">
        <v>95</v>
      </c>
      <c r="P24" s="15" t="s">
        <v>5</v>
      </c>
      <c r="Q24" s="4" t="s">
        <v>77</v>
      </c>
      <c r="R24" s="4" t="s">
        <v>79</v>
      </c>
      <c r="S24" s="4" t="s">
        <v>79</v>
      </c>
      <c r="T24" s="4" t="s">
        <v>79</v>
      </c>
      <c r="U24" s="4" t="s">
        <v>261</v>
      </c>
      <c r="V24" s="13" t="s">
        <v>9</v>
      </c>
      <c r="W24" s="4" t="s">
        <v>262</v>
      </c>
      <c r="X24" s="4"/>
      <c r="Y24" s="4"/>
      <c r="Z24" s="4"/>
      <c r="AA24" s="4" t="s">
        <v>263</v>
      </c>
      <c r="AB24" s="15" t="s">
        <v>97</v>
      </c>
      <c r="AC24" s="15" t="s">
        <v>136</v>
      </c>
      <c r="AD24" s="15" t="s">
        <v>97</v>
      </c>
      <c r="AE24" s="4"/>
    </row>
    <row r="25" customFormat="false" ht="35.05" hidden="false" customHeight="false" outlineLevel="0" collapsed="false">
      <c r="A25" s="4" t="s">
        <v>264</v>
      </c>
      <c r="B25" s="4" t="s">
        <v>265</v>
      </c>
      <c r="C25" s="4" t="s">
        <v>13</v>
      </c>
      <c r="D25" s="4" t="s">
        <v>266</v>
      </c>
      <c r="E25" s="4" t="s">
        <v>163</v>
      </c>
      <c r="F25" s="4" t="s">
        <v>211</v>
      </c>
      <c r="G25" s="4"/>
      <c r="H25" s="11"/>
      <c r="I25" s="4" t="s">
        <v>70</v>
      </c>
      <c r="J25" s="4" t="s">
        <v>71</v>
      </c>
      <c r="K25" s="4" t="s">
        <v>267</v>
      </c>
      <c r="L25" s="4" t="s">
        <v>268</v>
      </c>
      <c r="M25" s="4" t="s">
        <v>115</v>
      </c>
      <c r="N25" s="4" t="s">
        <v>269</v>
      </c>
      <c r="O25" s="13" t="s">
        <v>191</v>
      </c>
      <c r="P25" s="15" t="s">
        <v>6</v>
      </c>
      <c r="Q25" s="4" t="s">
        <v>6</v>
      </c>
      <c r="R25" s="4" t="s">
        <v>79</v>
      </c>
      <c r="S25" s="4" t="s">
        <v>79</v>
      </c>
      <c r="T25" s="4" t="s">
        <v>79</v>
      </c>
      <c r="U25" s="4" t="s">
        <v>107</v>
      </c>
      <c r="V25" s="13" t="s">
        <v>9</v>
      </c>
      <c r="W25" s="4" t="s">
        <v>214</v>
      </c>
      <c r="X25" s="4"/>
      <c r="Y25" s="4"/>
      <c r="Z25" s="4"/>
      <c r="AA25" s="4" t="s">
        <v>234</v>
      </c>
      <c r="AB25" s="15" t="s">
        <v>97</v>
      </c>
      <c r="AC25" s="15" t="s">
        <v>136</v>
      </c>
      <c r="AD25" s="15" t="s">
        <v>97</v>
      </c>
      <c r="AE25" s="4" t="s">
        <v>252</v>
      </c>
    </row>
    <row r="26" customFormat="false" ht="35.05" hidden="false" customHeight="false" outlineLevel="0" collapsed="false">
      <c r="A26" s="4" t="s">
        <v>270</v>
      </c>
      <c r="B26" s="4" t="s">
        <v>271</v>
      </c>
      <c r="C26" s="4" t="s">
        <v>14</v>
      </c>
      <c r="D26" s="4" t="s">
        <v>272</v>
      </c>
      <c r="E26" s="4" t="s">
        <v>66</v>
      </c>
      <c r="F26" s="4" t="s">
        <v>273</v>
      </c>
      <c r="G26" s="4"/>
      <c r="H26" s="11"/>
      <c r="I26" s="4" t="s">
        <v>70</v>
      </c>
      <c r="J26" s="4" t="s">
        <v>71</v>
      </c>
      <c r="K26" s="4" t="s">
        <v>274</v>
      </c>
      <c r="L26" s="4" t="s">
        <v>275</v>
      </c>
      <c r="M26" s="4" t="s">
        <v>115</v>
      </c>
      <c r="N26" s="4" t="s">
        <v>276</v>
      </c>
      <c r="O26" s="12" t="s">
        <v>76</v>
      </c>
      <c r="P26" s="15" t="s">
        <v>5</v>
      </c>
      <c r="Q26" s="4" t="s">
        <v>77</v>
      </c>
      <c r="R26" s="4" t="s">
        <v>79</v>
      </c>
      <c r="S26" s="4" t="s">
        <v>78</v>
      </c>
      <c r="T26" s="4" t="s">
        <v>79</v>
      </c>
      <c r="U26" s="4" t="s">
        <v>107</v>
      </c>
      <c r="V26" s="13" t="s">
        <v>9</v>
      </c>
      <c r="W26" s="4" t="s">
        <v>277</v>
      </c>
      <c r="X26" s="4"/>
      <c r="Y26" s="4"/>
      <c r="Z26" s="4"/>
      <c r="AA26" s="4" t="s">
        <v>278</v>
      </c>
      <c r="AB26" s="12" t="s">
        <v>279</v>
      </c>
      <c r="AC26" s="12" t="s">
        <v>279</v>
      </c>
      <c r="AD26" s="13" t="s">
        <v>83</v>
      </c>
      <c r="AE26" s="4" t="s">
        <v>280</v>
      </c>
    </row>
    <row r="27" customFormat="false" ht="35.05" hidden="false" customHeight="false" outlineLevel="0" collapsed="false">
      <c r="A27" s="4" t="s">
        <v>281</v>
      </c>
      <c r="B27" s="4" t="s">
        <v>282</v>
      </c>
      <c r="C27" s="4" t="s">
        <v>14</v>
      </c>
      <c r="D27" s="4" t="s">
        <v>283</v>
      </c>
      <c r="E27" s="4" t="s">
        <v>66</v>
      </c>
      <c r="F27" s="4" t="s">
        <v>273</v>
      </c>
      <c r="G27" s="4"/>
      <c r="H27" s="11"/>
      <c r="I27" s="4" t="s">
        <v>90</v>
      </c>
      <c r="J27" s="4" t="s">
        <v>71</v>
      </c>
      <c r="K27" s="4" t="s">
        <v>274</v>
      </c>
      <c r="L27" s="4" t="s">
        <v>284</v>
      </c>
      <c r="M27" s="4" t="s">
        <v>104</v>
      </c>
      <c r="N27" s="4" t="s">
        <v>285</v>
      </c>
      <c r="O27" s="16" t="s">
        <v>106</v>
      </c>
      <c r="P27" s="15" t="s">
        <v>5</v>
      </c>
      <c r="Q27" s="4" t="s">
        <v>5</v>
      </c>
      <c r="R27" s="4" t="s">
        <v>79</v>
      </c>
      <c r="S27" s="4" t="s">
        <v>79</v>
      </c>
      <c r="T27" s="4" t="s">
        <v>79</v>
      </c>
      <c r="U27" s="4" t="s">
        <v>107</v>
      </c>
      <c r="V27" s="13" t="s">
        <v>9</v>
      </c>
      <c r="W27" s="4" t="s">
        <v>277</v>
      </c>
      <c r="X27" s="4"/>
      <c r="Y27" s="4"/>
      <c r="Z27" s="4"/>
      <c r="AA27" s="4" t="s">
        <v>286</v>
      </c>
      <c r="AB27" s="15" t="s">
        <v>97</v>
      </c>
      <c r="AC27" s="15" t="s">
        <v>136</v>
      </c>
      <c r="AD27" s="15" t="s">
        <v>97</v>
      </c>
      <c r="AE27" s="4"/>
    </row>
    <row r="28" customFormat="false" ht="35.05" hidden="false" customHeight="false" outlineLevel="0" collapsed="false">
      <c r="A28" s="4" t="s">
        <v>287</v>
      </c>
      <c r="B28" s="4" t="s">
        <v>288</v>
      </c>
      <c r="C28" s="4" t="s">
        <v>14</v>
      </c>
      <c r="D28" s="4" t="s">
        <v>289</v>
      </c>
      <c r="E28" s="4" t="s">
        <v>66</v>
      </c>
      <c r="F28" s="4" t="s">
        <v>273</v>
      </c>
      <c r="G28" s="4" t="s">
        <v>290</v>
      </c>
      <c r="H28" s="11" t="s">
        <v>291</v>
      </c>
      <c r="I28" s="4" t="s">
        <v>141</v>
      </c>
      <c r="J28" s="4" t="s">
        <v>142</v>
      </c>
      <c r="K28" s="4" t="s">
        <v>274</v>
      </c>
      <c r="L28" s="4" t="s">
        <v>292</v>
      </c>
      <c r="M28" s="4" t="s">
        <v>293</v>
      </c>
      <c r="N28" s="4" t="s">
        <v>294</v>
      </c>
      <c r="O28" s="14" t="s">
        <v>95</v>
      </c>
      <c r="P28" s="15" t="s">
        <v>5</v>
      </c>
      <c r="Q28" s="4" t="s">
        <v>77</v>
      </c>
      <c r="R28" s="4" t="s">
        <v>79</v>
      </c>
      <c r="S28" s="4" t="s">
        <v>79</v>
      </c>
      <c r="T28" s="4" t="s">
        <v>79</v>
      </c>
      <c r="U28" s="4" t="s">
        <v>80</v>
      </c>
      <c r="V28" s="13" t="s">
        <v>9</v>
      </c>
      <c r="W28" s="4" t="s">
        <v>277</v>
      </c>
      <c r="X28" s="4"/>
      <c r="Y28" s="4"/>
      <c r="Z28" s="4"/>
      <c r="AA28" s="4" t="s">
        <v>295</v>
      </c>
      <c r="AB28" s="15" t="s">
        <v>97</v>
      </c>
      <c r="AC28" s="15" t="s">
        <v>136</v>
      </c>
      <c r="AD28" s="15" t="s">
        <v>97</v>
      </c>
      <c r="AE28" s="4"/>
    </row>
    <row r="29" customFormat="false" ht="35.05" hidden="false" customHeight="false" outlineLevel="0" collapsed="false">
      <c r="A29" s="4" t="s">
        <v>296</v>
      </c>
      <c r="B29" s="4" t="s">
        <v>297</v>
      </c>
      <c r="C29" s="4" t="s">
        <v>14</v>
      </c>
      <c r="D29" s="4" t="s">
        <v>298</v>
      </c>
      <c r="E29" s="4" t="s">
        <v>66</v>
      </c>
      <c r="F29" s="4" t="s">
        <v>273</v>
      </c>
      <c r="G29" s="4" t="s">
        <v>290</v>
      </c>
      <c r="H29" s="11" t="s">
        <v>291</v>
      </c>
      <c r="I29" s="4" t="s">
        <v>141</v>
      </c>
      <c r="J29" s="4" t="s">
        <v>142</v>
      </c>
      <c r="K29" s="4" t="s">
        <v>274</v>
      </c>
      <c r="L29" s="4" t="s">
        <v>299</v>
      </c>
      <c r="M29" s="4" t="s">
        <v>300</v>
      </c>
      <c r="N29" s="4" t="s">
        <v>301</v>
      </c>
      <c r="O29" s="14" t="s">
        <v>95</v>
      </c>
      <c r="P29" s="15" t="s">
        <v>5</v>
      </c>
      <c r="Q29" s="4" t="s">
        <v>77</v>
      </c>
      <c r="R29" s="4" t="s">
        <v>79</v>
      </c>
      <c r="S29" s="4" t="s">
        <v>79</v>
      </c>
      <c r="T29" s="4" t="s">
        <v>79</v>
      </c>
      <c r="U29" s="4" t="s">
        <v>80</v>
      </c>
      <c r="V29" s="13" t="s">
        <v>9</v>
      </c>
      <c r="W29" s="4" t="s">
        <v>277</v>
      </c>
      <c r="X29" s="4"/>
      <c r="Y29" s="4"/>
      <c r="Z29" s="4"/>
      <c r="AA29" s="4" t="s">
        <v>295</v>
      </c>
      <c r="AB29" s="15" t="s">
        <v>97</v>
      </c>
      <c r="AC29" s="15" t="s">
        <v>136</v>
      </c>
      <c r="AD29" s="15" t="s">
        <v>97</v>
      </c>
      <c r="AE29" s="4"/>
    </row>
    <row r="30" customFormat="false" ht="35.05" hidden="false" customHeight="false" outlineLevel="0" collapsed="false">
      <c r="A30" s="4" t="s">
        <v>302</v>
      </c>
      <c r="B30" s="4" t="s">
        <v>303</v>
      </c>
      <c r="C30" s="4" t="s">
        <v>14</v>
      </c>
      <c r="D30" s="4" t="s">
        <v>304</v>
      </c>
      <c r="E30" s="4" t="s">
        <v>66</v>
      </c>
      <c r="F30" s="4" t="s">
        <v>305</v>
      </c>
      <c r="G30" s="4" t="s">
        <v>306</v>
      </c>
      <c r="H30" s="11" t="s">
        <v>307</v>
      </c>
      <c r="I30" s="4" t="s">
        <v>90</v>
      </c>
      <c r="J30" s="4" t="s">
        <v>142</v>
      </c>
      <c r="K30" s="4" t="s">
        <v>274</v>
      </c>
      <c r="L30" s="4" t="s">
        <v>308</v>
      </c>
      <c r="M30" s="4" t="s">
        <v>309</v>
      </c>
      <c r="N30" s="4" t="s">
        <v>310</v>
      </c>
      <c r="O30" s="14" t="s">
        <v>95</v>
      </c>
      <c r="P30" s="12" t="s">
        <v>77</v>
      </c>
      <c r="Q30" s="4" t="s">
        <v>77</v>
      </c>
      <c r="R30" s="4" t="s">
        <v>78</v>
      </c>
      <c r="S30" s="4" t="s">
        <v>79</v>
      </c>
      <c r="T30" s="4" t="s">
        <v>79</v>
      </c>
      <c r="U30" s="4" t="s">
        <v>80</v>
      </c>
      <c r="V30" s="13" t="s">
        <v>9</v>
      </c>
      <c r="W30" s="4" t="s">
        <v>277</v>
      </c>
      <c r="X30" s="4"/>
      <c r="Y30" s="4"/>
      <c r="Z30" s="4"/>
      <c r="AA30" s="4" t="s">
        <v>311</v>
      </c>
      <c r="AB30" s="15" t="s">
        <v>97</v>
      </c>
      <c r="AC30" s="15" t="s">
        <v>136</v>
      </c>
      <c r="AD30" s="15" t="s">
        <v>97</v>
      </c>
      <c r="AE30" s="4"/>
    </row>
    <row r="31" customFormat="false" ht="46.25" hidden="false" customHeight="false" outlineLevel="0" collapsed="false">
      <c r="A31" s="4" t="s">
        <v>312</v>
      </c>
      <c r="B31" s="4" t="s">
        <v>313</v>
      </c>
      <c r="C31" s="4" t="s">
        <v>14</v>
      </c>
      <c r="D31" s="4" t="s">
        <v>314</v>
      </c>
      <c r="E31" s="4" t="s">
        <v>66</v>
      </c>
      <c r="F31" s="4" t="s">
        <v>315</v>
      </c>
      <c r="G31" s="4"/>
      <c r="H31" s="11"/>
      <c r="I31" s="4" t="s">
        <v>70</v>
      </c>
      <c r="J31" s="4" t="s">
        <v>71</v>
      </c>
      <c r="K31" s="4" t="s">
        <v>316</v>
      </c>
      <c r="L31" s="4" t="s">
        <v>317</v>
      </c>
      <c r="M31" s="4" t="s">
        <v>115</v>
      </c>
      <c r="N31" s="4" t="s">
        <v>318</v>
      </c>
      <c r="O31" s="13" t="s">
        <v>191</v>
      </c>
      <c r="P31" s="15" t="s">
        <v>6</v>
      </c>
      <c r="Q31" s="4" t="s">
        <v>6</v>
      </c>
      <c r="R31" s="4" t="s">
        <v>79</v>
      </c>
      <c r="S31" s="4" t="s">
        <v>79</v>
      </c>
      <c r="T31" s="4" t="s">
        <v>79</v>
      </c>
      <c r="U31" s="4" t="s">
        <v>107</v>
      </c>
      <c r="V31" s="13" t="s">
        <v>9</v>
      </c>
      <c r="W31" s="4" t="s">
        <v>277</v>
      </c>
      <c r="X31" s="4"/>
      <c r="Y31" s="4"/>
      <c r="Z31" s="4"/>
      <c r="AA31" s="4" t="s">
        <v>319</v>
      </c>
      <c r="AB31" s="15" t="s">
        <v>97</v>
      </c>
      <c r="AC31" s="15" t="s">
        <v>136</v>
      </c>
      <c r="AD31" s="15" t="s">
        <v>97</v>
      </c>
      <c r="AE31" s="4"/>
    </row>
    <row r="32" customFormat="false" ht="57.45" hidden="false" customHeight="false" outlineLevel="0" collapsed="false">
      <c r="A32" s="4" t="s">
        <v>320</v>
      </c>
      <c r="B32" s="4" t="s">
        <v>321</v>
      </c>
      <c r="C32" s="4" t="s">
        <v>14</v>
      </c>
      <c r="D32" s="4" t="s">
        <v>322</v>
      </c>
      <c r="E32" s="4" t="s">
        <v>66</v>
      </c>
      <c r="F32" s="4" t="s">
        <v>315</v>
      </c>
      <c r="G32" s="4"/>
      <c r="H32" s="11"/>
      <c r="I32" s="4" t="s">
        <v>90</v>
      </c>
      <c r="J32" s="4" t="s">
        <v>71</v>
      </c>
      <c r="K32" s="4" t="s">
        <v>316</v>
      </c>
      <c r="L32" s="4" t="s">
        <v>323</v>
      </c>
      <c r="M32" s="4" t="s">
        <v>324</v>
      </c>
      <c r="N32" s="4" t="s">
        <v>325</v>
      </c>
      <c r="O32" s="16" t="s">
        <v>106</v>
      </c>
      <c r="P32" s="15" t="s">
        <v>5</v>
      </c>
      <c r="Q32" s="4" t="s">
        <v>5</v>
      </c>
      <c r="R32" s="4" t="s">
        <v>79</v>
      </c>
      <c r="S32" s="4" t="s">
        <v>79</v>
      </c>
      <c r="T32" s="4" t="s">
        <v>79</v>
      </c>
      <c r="U32" s="4" t="s">
        <v>107</v>
      </c>
      <c r="V32" s="13" t="s">
        <v>9</v>
      </c>
      <c r="W32" s="4" t="s">
        <v>277</v>
      </c>
      <c r="X32" s="4"/>
      <c r="Y32" s="4"/>
      <c r="Z32" s="4"/>
      <c r="AA32" s="4" t="s">
        <v>286</v>
      </c>
      <c r="AB32" s="15" t="s">
        <v>97</v>
      </c>
      <c r="AC32" s="15" t="s">
        <v>136</v>
      </c>
      <c r="AD32" s="15" t="s">
        <v>97</v>
      </c>
      <c r="AE32" s="4"/>
    </row>
    <row r="33" customFormat="false" ht="46.25" hidden="false" customHeight="false" outlineLevel="0" collapsed="false">
      <c r="A33" s="4" t="s">
        <v>326</v>
      </c>
      <c r="B33" s="4" t="s">
        <v>327</v>
      </c>
      <c r="C33" s="4" t="s">
        <v>14</v>
      </c>
      <c r="D33" s="4" t="s">
        <v>328</v>
      </c>
      <c r="E33" s="4" t="s">
        <v>66</v>
      </c>
      <c r="F33" s="4" t="s">
        <v>329</v>
      </c>
      <c r="G33" s="4" t="s">
        <v>330</v>
      </c>
      <c r="H33" s="11" t="s">
        <v>331</v>
      </c>
      <c r="I33" s="4" t="s">
        <v>123</v>
      </c>
      <c r="J33" s="4" t="s">
        <v>71</v>
      </c>
      <c r="K33" s="4" t="s">
        <v>332</v>
      </c>
      <c r="L33" s="4" t="s">
        <v>333</v>
      </c>
      <c r="M33" s="4" t="s">
        <v>334</v>
      </c>
      <c r="N33" s="4" t="s">
        <v>335</v>
      </c>
      <c r="O33" s="12" t="s">
        <v>76</v>
      </c>
      <c r="P33" s="12" t="s">
        <v>77</v>
      </c>
      <c r="Q33" s="4" t="s">
        <v>77</v>
      </c>
      <c r="R33" s="4" t="s">
        <v>78</v>
      </c>
      <c r="S33" s="4" t="s">
        <v>79</v>
      </c>
      <c r="T33" s="4" t="s">
        <v>78</v>
      </c>
      <c r="U33" s="4" t="s">
        <v>80</v>
      </c>
      <c r="V33" s="13" t="s">
        <v>9</v>
      </c>
      <c r="W33" s="4" t="s">
        <v>336</v>
      </c>
      <c r="X33" s="4"/>
      <c r="Y33" s="4"/>
      <c r="Z33" s="4"/>
      <c r="AA33" s="4" t="s">
        <v>337</v>
      </c>
      <c r="AB33" s="15" t="s">
        <v>97</v>
      </c>
      <c r="AC33" s="15" t="s">
        <v>136</v>
      </c>
      <c r="AD33" s="15" t="s">
        <v>97</v>
      </c>
      <c r="AE33" s="4" t="s">
        <v>338</v>
      </c>
    </row>
    <row r="34" customFormat="false" ht="46.25" hidden="false" customHeight="false" outlineLevel="0" collapsed="false">
      <c r="A34" s="4" t="s">
        <v>339</v>
      </c>
      <c r="B34" s="4" t="s">
        <v>340</v>
      </c>
      <c r="C34" s="4" t="s">
        <v>14</v>
      </c>
      <c r="D34" s="4" t="s">
        <v>341</v>
      </c>
      <c r="E34" s="4" t="s">
        <v>66</v>
      </c>
      <c r="F34" s="4" t="s">
        <v>342</v>
      </c>
      <c r="G34" s="4"/>
      <c r="H34" s="11"/>
      <c r="I34" s="4" t="s">
        <v>90</v>
      </c>
      <c r="J34" s="4" t="s">
        <v>71</v>
      </c>
      <c r="K34" s="4" t="s">
        <v>332</v>
      </c>
      <c r="L34" s="4" t="s">
        <v>343</v>
      </c>
      <c r="M34" s="4" t="s">
        <v>344</v>
      </c>
      <c r="N34" s="4" t="s">
        <v>345</v>
      </c>
      <c r="O34" s="16" t="s">
        <v>106</v>
      </c>
      <c r="P34" s="15" t="s">
        <v>5</v>
      </c>
      <c r="Q34" s="4" t="s">
        <v>5</v>
      </c>
      <c r="R34" s="4" t="s">
        <v>79</v>
      </c>
      <c r="S34" s="4" t="s">
        <v>79</v>
      </c>
      <c r="T34" s="4" t="s">
        <v>78</v>
      </c>
      <c r="U34" s="4" t="s">
        <v>107</v>
      </c>
      <c r="V34" s="13" t="s">
        <v>9</v>
      </c>
      <c r="W34" s="4" t="s">
        <v>336</v>
      </c>
      <c r="X34" s="4" t="s">
        <v>346</v>
      </c>
      <c r="Y34" s="4"/>
      <c r="Z34" s="4"/>
      <c r="AA34" s="4" t="s">
        <v>347</v>
      </c>
      <c r="AB34" s="15" t="s">
        <v>97</v>
      </c>
      <c r="AC34" s="15" t="s">
        <v>136</v>
      </c>
      <c r="AD34" s="15" t="s">
        <v>97</v>
      </c>
      <c r="AE34" s="4"/>
    </row>
    <row r="35" customFormat="false" ht="46.25" hidden="false" customHeight="false" outlineLevel="0" collapsed="false">
      <c r="A35" s="4" t="s">
        <v>348</v>
      </c>
      <c r="B35" s="4" t="s">
        <v>349</v>
      </c>
      <c r="C35" s="4" t="s">
        <v>14</v>
      </c>
      <c r="D35" s="4" t="s">
        <v>350</v>
      </c>
      <c r="E35" s="4" t="s">
        <v>66</v>
      </c>
      <c r="F35" s="4" t="s">
        <v>351</v>
      </c>
      <c r="G35" s="4"/>
      <c r="H35" s="11"/>
      <c r="I35" s="4" t="s">
        <v>90</v>
      </c>
      <c r="J35" s="4" t="s">
        <v>71</v>
      </c>
      <c r="K35" s="4" t="s">
        <v>332</v>
      </c>
      <c r="L35" s="4" t="s">
        <v>352</v>
      </c>
      <c r="M35" s="4" t="s">
        <v>115</v>
      </c>
      <c r="N35" s="4" t="s">
        <v>353</v>
      </c>
      <c r="O35" s="16" t="s">
        <v>106</v>
      </c>
      <c r="P35" s="15" t="s">
        <v>5</v>
      </c>
      <c r="Q35" s="4" t="s">
        <v>5</v>
      </c>
      <c r="R35" s="4" t="s">
        <v>79</v>
      </c>
      <c r="S35" s="4" t="s">
        <v>79</v>
      </c>
      <c r="T35" s="4" t="s">
        <v>78</v>
      </c>
      <c r="U35" s="4" t="s">
        <v>107</v>
      </c>
      <c r="V35" s="13" t="s">
        <v>9</v>
      </c>
      <c r="W35" s="4" t="s">
        <v>336</v>
      </c>
      <c r="X35" s="4"/>
      <c r="Y35" s="4"/>
      <c r="Z35" s="4"/>
      <c r="AA35" s="4" t="s">
        <v>347</v>
      </c>
      <c r="AB35" s="15" t="s">
        <v>97</v>
      </c>
      <c r="AC35" s="15" t="s">
        <v>136</v>
      </c>
      <c r="AD35" s="15" t="s">
        <v>97</v>
      </c>
      <c r="AE35" s="4"/>
    </row>
    <row r="36" customFormat="false" ht="46.25" hidden="false" customHeight="false" outlineLevel="0" collapsed="false">
      <c r="A36" s="4" t="s">
        <v>354</v>
      </c>
      <c r="B36" s="4" t="s">
        <v>355</v>
      </c>
      <c r="C36" s="4" t="s">
        <v>14</v>
      </c>
      <c r="D36" s="4" t="s">
        <v>356</v>
      </c>
      <c r="E36" s="4" t="s">
        <v>163</v>
      </c>
      <c r="F36" s="4" t="s">
        <v>315</v>
      </c>
      <c r="G36" s="4"/>
      <c r="H36" s="11"/>
      <c r="I36" s="4" t="s">
        <v>90</v>
      </c>
      <c r="J36" s="4" t="s">
        <v>71</v>
      </c>
      <c r="K36" s="4" t="s">
        <v>316</v>
      </c>
      <c r="L36" s="4" t="s">
        <v>357</v>
      </c>
      <c r="M36" s="4" t="s">
        <v>358</v>
      </c>
      <c r="N36" s="4" t="s">
        <v>359</v>
      </c>
      <c r="O36" s="13" t="s">
        <v>191</v>
      </c>
      <c r="P36" s="15" t="s">
        <v>6</v>
      </c>
      <c r="Q36" s="4" t="s">
        <v>6</v>
      </c>
      <c r="R36" s="4" t="s">
        <v>79</v>
      </c>
      <c r="S36" s="4" t="s">
        <v>79</v>
      </c>
      <c r="T36" s="4" t="s">
        <v>79</v>
      </c>
      <c r="U36" s="4" t="s">
        <v>107</v>
      </c>
      <c r="V36" s="13" t="s">
        <v>9</v>
      </c>
      <c r="W36" s="4" t="s">
        <v>277</v>
      </c>
      <c r="X36" s="4"/>
      <c r="Y36" s="4"/>
      <c r="Z36" s="4"/>
      <c r="AA36" s="4" t="s">
        <v>319</v>
      </c>
      <c r="AB36" s="15" t="s">
        <v>97</v>
      </c>
      <c r="AC36" s="15" t="s">
        <v>136</v>
      </c>
      <c r="AD36" s="15" t="s">
        <v>97</v>
      </c>
      <c r="AE36" s="4"/>
    </row>
    <row r="37" customFormat="false" ht="46.25" hidden="false" customHeight="false" outlineLevel="0" collapsed="false">
      <c r="A37" s="4" t="s">
        <v>360</v>
      </c>
      <c r="B37" s="4" t="s">
        <v>361</v>
      </c>
      <c r="C37" s="4" t="s">
        <v>14</v>
      </c>
      <c r="D37" s="4" t="s">
        <v>362</v>
      </c>
      <c r="E37" s="4" t="s">
        <v>163</v>
      </c>
      <c r="F37" s="4" t="s">
        <v>363</v>
      </c>
      <c r="G37" s="4" t="s">
        <v>364</v>
      </c>
      <c r="H37" s="11" t="s">
        <v>365</v>
      </c>
      <c r="I37" s="4" t="s">
        <v>90</v>
      </c>
      <c r="J37" s="4" t="s">
        <v>142</v>
      </c>
      <c r="K37" s="4" t="s">
        <v>332</v>
      </c>
      <c r="L37" s="4" t="s">
        <v>366</v>
      </c>
      <c r="M37" s="4" t="s">
        <v>367</v>
      </c>
      <c r="N37" s="4" t="s">
        <v>368</v>
      </c>
      <c r="O37" s="14" t="s">
        <v>95</v>
      </c>
      <c r="P37" s="15" t="s">
        <v>5</v>
      </c>
      <c r="Q37" s="4" t="s">
        <v>77</v>
      </c>
      <c r="R37" s="4" t="s">
        <v>79</v>
      </c>
      <c r="S37" s="4" t="s">
        <v>79</v>
      </c>
      <c r="T37" s="4" t="s">
        <v>78</v>
      </c>
      <c r="U37" s="4" t="s">
        <v>80</v>
      </c>
      <c r="V37" s="13" t="s">
        <v>9</v>
      </c>
      <c r="W37" s="4" t="s">
        <v>336</v>
      </c>
      <c r="X37" s="4"/>
      <c r="Y37" s="4"/>
      <c r="Z37" s="4"/>
      <c r="AA37" s="4" t="s">
        <v>369</v>
      </c>
      <c r="AB37" s="15" t="s">
        <v>97</v>
      </c>
      <c r="AC37" s="15" t="s">
        <v>136</v>
      </c>
      <c r="AD37" s="15" t="s">
        <v>97</v>
      </c>
      <c r="AE37" s="4"/>
    </row>
    <row r="38" customFormat="false" ht="35.05" hidden="false" customHeight="false" outlineLevel="0" collapsed="false">
      <c r="A38" s="4" t="s">
        <v>370</v>
      </c>
      <c r="B38" s="4" t="s">
        <v>371</v>
      </c>
      <c r="C38" s="4" t="s">
        <v>14</v>
      </c>
      <c r="D38" s="4" t="s">
        <v>372</v>
      </c>
      <c r="E38" s="4" t="s">
        <v>173</v>
      </c>
      <c r="F38" s="4" t="s">
        <v>273</v>
      </c>
      <c r="G38" s="4"/>
      <c r="H38" s="11"/>
      <c r="I38" s="4" t="s">
        <v>70</v>
      </c>
      <c r="J38" s="4" t="s">
        <v>71</v>
      </c>
      <c r="K38" s="4" t="s">
        <v>274</v>
      </c>
      <c r="L38" s="4" t="s">
        <v>373</v>
      </c>
      <c r="M38" s="4" t="s">
        <v>374</v>
      </c>
      <c r="N38" s="4" t="s">
        <v>375</v>
      </c>
      <c r="O38" s="16" t="s">
        <v>106</v>
      </c>
      <c r="P38" s="15" t="s">
        <v>5</v>
      </c>
      <c r="Q38" s="4" t="s">
        <v>5</v>
      </c>
      <c r="R38" s="4" t="s">
        <v>79</v>
      </c>
      <c r="S38" s="4" t="s">
        <v>79</v>
      </c>
      <c r="T38" s="4" t="s">
        <v>79</v>
      </c>
      <c r="U38" s="4" t="s">
        <v>107</v>
      </c>
      <c r="V38" s="13" t="s">
        <v>9</v>
      </c>
      <c r="W38" s="4" t="s">
        <v>277</v>
      </c>
      <c r="X38" s="4"/>
      <c r="Y38" s="4"/>
      <c r="Z38" s="4"/>
      <c r="AA38" s="4" t="s">
        <v>286</v>
      </c>
      <c r="AB38" s="15" t="s">
        <v>97</v>
      </c>
      <c r="AC38" s="15" t="s">
        <v>136</v>
      </c>
      <c r="AD38" s="15" t="s">
        <v>97</v>
      </c>
      <c r="AE38" s="4"/>
    </row>
    <row r="39" customFormat="false" ht="35.05" hidden="false" customHeight="false" outlineLevel="0" collapsed="false">
      <c r="A39" s="4" t="s">
        <v>376</v>
      </c>
      <c r="B39" s="4" t="s">
        <v>377</v>
      </c>
      <c r="C39" s="4" t="s">
        <v>14</v>
      </c>
      <c r="D39" s="4" t="s">
        <v>378</v>
      </c>
      <c r="E39" s="4" t="s">
        <v>173</v>
      </c>
      <c r="F39" s="4" t="s">
        <v>315</v>
      </c>
      <c r="G39" s="4"/>
      <c r="H39" s="11"/>
      <c r="I39" s="4" t="s">
        <v>90</v>
      </c>
      <c r="J39" s="4" t="s">
        <v>71</v>
      </c>
      <c r="K39" s="4" t="s">
        <v>274</v>
      </c>
      <c r="L39" s="4" t="s">
        <v>379</v>
      </c>
      <c r="M39" s="4" t="s">
        <v>380</v>
      </c>
      <c r="N39" s="4" t="s">
        <v>381</v>
      </c>
      <c r="O39" s="16" t="s">
        <v>106</v>
      </c>
      <c r="P39" s="15" t="s">
        <v>5</v>
      </c>
      <c r="Q39" s="4" t="s">
        <v>5</v>
      </c>
      <c r="R39" s="4" t="s">
        <v>79</v>
      </c>
      <c r="S39" s="4" t="s">
        <v>79</v>
      </c>
      <c r="T39" s="4" t="s">
        <v>79</v>
      </c>
      <c r="U39" s="4" t="s">
        <v>107</v>
      </c>
      <c r="V39" s="13" t="s">
        <v>9</v>
      </c>
      <c r="W39" s="4" t="s">
        <v>277</v>
      </c>
      <c r="X39" s="4"/>
      <c r="Y39" s="4"/>
      <c r="Z39" s="4"/>
      <c r="AA39" s="4" t="s">
        <v>286</v>
      </c>
      <c r="AB39" s="15" t="s">
        <v>97</v>
      </c>
      <c r="AC39" s="15" t="s">
        <v>136</v>
      </c>
      <c r="AD39" s="15" t="s">
        <v>97</v>
      </c>
      <c r="AE39" s="4"/>
    </row>
    <row r="40" customFormat="false" ht="46.25" hidden="false" customHeight="false" outlineLevel="0" collapsed="false">
      <c r="A40" s="4" t="s">
        <v>382</v>
      </c>
      <c r="B40" s="4" t="s">
        <v>383</v>
      </c>
      <c r="C40" s="4" t="s">
        <v>14</v>
      </c>
      <c r="D40" s="4" t="s">
        <v>384</v>
      </c>
      <c r="E40" s="4" t="s">
        <v>173</v>
      </c>
      <c r="F40" s="4" t="s">
        <v>315</v>
      </c>
      <c r="G40" s="4"/>
      <c r="H40" s="11"/>
      <c r="I40" s="4" t="s">
        <v>90</v>
      </c>
      <c r="J40" s="4" t="s">
        <v>71</v>
      </c>
      <c r="K40" s="4" t="s">
        <v>316</v>
      </c>
      <c r="L40" s="4" t="s">
        <v>385</v>
      </c>
      <c r="M40" s="4" t="s">
        <v>115</v>
      </c>
      <c r="N40" s="4" t="s">
        <v>386</v>
      </c>
      <c r="O40" s="16" t="s">
        <v>106</v>
      </c>
      <c r="P40" s="15" t="s">
        <v>5</v>
      </c>
      <c r="Q40" s="4" t="s">
        <v>5</v>
      </c>
      <c r="R40" s="4" t="s">
        <v>79</v>
      </c>
      <c r="S40" s="4" t="s">
        <v>79</v>
      </c>
      <c r="T40" s="4" t="s">
        <v>79</v>
      </c>
      <c r="U40" s="4" t="s">
        <v>107</v>
      </c>
      <c r="V40" s="13" t="s">
        <v>9</v>
      </c>
      <c r="W40" s="4" t="s">
        <v>277</v>
      </c>
      <c r="X40" s="4" t="s">
        <v>387</v>
      </c>
      <c r="Y40" s="4"/>
      <c r="Z40" s="4"/>
      <c r="AA40" s="4" t="s">
        <v>286</v>
      </c>
      <c r="AB40" s="15" t="s">
        <v>97</v>
      </c>
      <c r="AC40" s="15" t="s">
        <v>136</v>
      </c>
      <c r="AD40" s="15" t="s">
        <v>97</v>
      </c>
      <c r="AE40" s="4"/>
    </row>
    <row r="41" customFormat="false" ht="46.25" hidden="false" customHeight="false" outlineLevel="0" collapsed="false">
      <c r="A41" s="4" t="s">
        <v>388</v>
      </c>
      <c r="B41" s="4" t="s">
        <v>389</v>
      </c>
      <c r="C41" s="4" t="s">
        <v>15</v>
      </c>
      <c r="D41" s="4" t="s">
        <v>390</v>
      </c>
      <c r="E41" s="4" t="s">
        <v>66</v>
      </c>
      <c r="F41" s="4" t="s">
        <v>391</v>
      </c>
      <c r="G41" s="4"/>
      <c r="H41" s="11"/>
      <c r="I41" s="4" t="s">
        <v>70</v>
      </c>
      <c r="J41" s="4" t="s">
        <v>71</v>
      </c>
      <c r="K41" s="4" t="s">
        <v>392</v>
      </c>
      <c r="L41" s="4" t="s">
        <v>393</v>
      </c>
      <c r="M41" s="4" t="s">
        <v>394</v>
      </c>
      <c r="N41" s="4" t="s">
        <v>395</v>
      </c>
      <c r="O41" s="14" t="s">
        <v>95</v>
      </c>
      <c r="P41" s="12" t="s">
        <v>77</v>
      </c>
      <c r="Q41" s="4" t="s">
        <v>77</v>
      </c>
      <c r="R41" s="4" t="s">
        <v>78</v>
      </c>
      <c r="S41" s="4" t="s">
        <v>78</v>
      </c>
      <c r="T41" s="4" t="s">
        <v>79</v>
      </c>
      <c r="U41" s="4" t="s">
        <v>107</v>
      </c>
      <c r="V41" s="13" t="s">
        <v>9</v>
      </c>
      <c r="W41" s="4" t="s">
        <v>396</v>
      </c>
      <c r="X41" s="4"/>
      <c r="Y41" s="4"/>
      <c r="Z41" s="4"/>
      <c r="AA41" s="4" t="s">
        <v>397</v>
      </c>
      <c r="AB41" s="12" t="s">
        <v>279</v>
      </c>
      <c r="AC41" s="12" t="s">
        <v>279</v>
      </c>
      <c r="AD41" s="13" t="s">
        <v>83</v>
      </c>
      <c r="AE41" s="4" t="s">
        <v>398</v>
      </c>
    </row>
    <row r="42" customFormat="false" ht="46.25" hidden="false" customHeight="false" outlineLevel="0" collapsed="false">
      <c r="A42" s="4" t="s">
        <v>399</v>
      </c>
      <c r="B42" s="4" t="s">
        <v>400</v>
      </c>
      <c r="C42" s="4" t="s">
        <v>15</v>
      </c>
      <c r="D42" s="4" t="s">
        <v>401</v>
      </c>
      <c r="E42" s="4" t="s">
        <v>66</v>
      </c>
      <c r="F42" s="4" t="s">
        <v>391</v>
      </c>
      <c r="G42" s="4"/>
      <c r="H42" s="11"/>
      <c r="I42" s="4" t="s">
        <v>70</v>
      </c>
      <c r="J42" s="4" t="s">
        <v>71</v>
      </c>
      <c r="K42" s="4" t="s">
        <v>392</v>
      </c>
      <c r="L42" s="4" t="s">
        <v>402</v>
      </c>
      <c r="M42" s="4" t="s">
        <v>115</v>
      </c>
      <c r="N42" s="4" t="s">
        <v>403</v>
      </c>
      <c r="O42" s="16" t="s">
        <v>106</v>
      </c>
      <c r="P42" s="15" t="s">
        <v>5</v>
      </c>
      <c r="Q42" s="4" t="s">
        <v>5</v>
      </c>
      <c r="R42" s="4" t="s">
        <v>79</v>
      </c>
      <c r="S42" s="4" t="s">
        <v>79</v>
      </c>
      <c r="T42" s="4" t="s">
        <v>79</v>
      </c>
      <c r="U42" s="4" t="s">
        <v>107</v>
      </c>
      <c r="V42" s="13" t="s">
        <v>9</v>
      </c>
      <c r="W42" s="4" t="s">
        <v>396</v>
      </c>
      <c r="X42" s="4" t="s">
        <v>404</v>
      </c>
      <c r="Y42" s="4"/>
      <c r="Z42" s="4"/>
      <c r="AA42" s="4" t="s">
        <v>405</v>
      </c>
      <c r="AB42" s="15" t="s">
        <v>97</v>
      </c>
      <c r="AC42" s="15" t="s">
        <v>136</v>
      </c>
      <c r="AD42" s="15" t="s">
        <v>97</v>
      </c>
      <c r="AE42" s="4"/>
    </row>
    <row r="43" customFormat="false" ht="46.25" hidden="false" customHeight="false" outlineLevel="0" collapsed="false">
      <c r="A43" s="4" t="s">
        <v>406</v>
      </c>
      <c r="B43" s="4" t="s">
        <v>407</v>
      </c>
      <c r="C43" s="4" t="s">
        <v>15</v>
      </c>
      <c r="D43" s="4" t="s">
        <v>408</v>
      </c>
      <c r="E43" s="4" t="s">
        <v>66</v>
      </c>
      <c r="F43" s="4" t="s">
        <v>409</v>
      </c>
      <c r="G43" s="4"/>
      <c r="H43" s="11"/>
      <c r="I43" s="4" t="s">
        <v>141</v>
      </c>
      <c r="J43" s="4" t="s">
        <v>71</v>
      </c>
      <c r="K43" s="4" t="s">
        <v>392</v>
      </c>
      <c r="L43" s="4" t="s">
        <v>410</v>
      </c>
      <c r="M43" s="4" t="s">
        <v>411</v>
      </c>
      <c r="N43" s="4" t="s">
        <v>412</v>
      </c>
      <c r="O43" s="14" t="s">
        <v>95</v>
      </c>
      <c r="P43" s="15" t="s">
        <v>5</v>
      </c>
      <c r="Q43" s="4" t="s">
        <v>77</v>
      </c>
      <c r="R43" s="4" t="s">
        <v>79</v>
      </c>
      <c r="S43" s="4" t="s">
        <v>79</v>
      </c>
      <c r="T43" s="4" t="s">
        <v>79</v>
      </c>
      <c r="U43" s="4" t="s">
        <v>107</v>
      </c>
      <c r="V43" s="13" t="s">
        <v>9</v>
      </c>
      <c r="W43" s="4" t="s">
        <v>396</v>
      </c>
      <c r="X43" s="4" t="s">
        <v>413</v>
      </c>
      <c r="Y43" s="4" t="s">
        <v>414</v>
      </c>
      <c r="Z43" s="4"/>
      <c r="AA43" s="4" t="s">
        <v>405</v>
      </c>
      <c r="AB43" s="15" t="s">
        <v>97</v>
      </c>
      <c r="AC43" s="15" t="s">
        <v>136</v>
      </c>
      <c r="AD43" s="15" t="s">
        <v>97</v>
      </c>
      <c r="AE43" s="4"/>
    </row>
    <row r="44" customFormat="false" ht="46.25" hidden="false" customHeight="false" outlineLevel="0" collapsed="false">
      <c r="A44" s="4" t="s">
        <v>415</v>
      </c>
      <c r="B44" s="4" t="s">
        <v>416</v>
      </c>
      <c r="C44" s="4" t="s">
        <v>15</v>
      </c>
      <c r="D44" s="4" t="s">
        <v>417</v>
      </c>
      <c r="E44" s="4" t="s">
        <v>66</v>
      </c>
      <c r="F44" s="4" t="s">
        <v>409</v>
      </c>
      <c r="G44" s="4"/>
      <c r="H44" s="11"/>
      <c r="I44" s="4" t="s">
        <v>141</v>
      </c>
      <c r="J44" s="4" t="s">
        <v>71</v>
      </c>
      <c r="K44" s="4" t="s">
        <v>392</v>
      </c>
      <c r="L44" s="4" t="s">
        <v>418</v>
      </c>
      <c r="M44" s="4" t="s">
        <v>419</v>
      </c>
      <c r="N44" s="4" t="s">
        <v>420</v>
      </c>
      <c r="O44" s="14" t="s">
        <v>95</v>
      </c>
      <c r="P44" s="15" t="s">
        <v>5</v>
      </c>
      <c r="Q44" s="4" t="s">
        <v>77</v>
      </c>
      <c r="R44" s="4" t="s">
        <v>79</v>
      </c>
      <c r="S44" s="4" t="s">
        <v>79</v>
      </c>
      <c r="T44" s="4" t="s">
        <v>79</v>
      </c>
      <c r="U44" s="4" t="s">
        <v>107</v>
      </c>
      <c r="V44" s="13" t="s">
        <v>9</v>
      </c>
      <c r="W44" s="4" t="s">
        <v>396</v>
      </c>
      <c r="X44" s="4" t="s">
        <v>421</v>
      </c>
      <c r="Y44" s="4" t="s">
        <v>414</v>
      </c>
      <c r="Z44" s="4"/>
      <c r="AA44" s="4" t="s">
        <v>405</v>
      </c>
      <c r="AB44" s="15" t="s">
        <v>97</v>
      </c>
      <c r="AC44" s="15" t="s">
        <v>136</v>
      </c>
      <c r="AD44" s="15" t="s">
        <v>97</v>
      </c>
      <c r="AE44" s="4"/>
    </row>
    <row r="45" customFormat="false" ht="46.25" hidden="false" customHeight="false" outlineLevel="0" collapsed="false">
      <c r="A45" s="4" t="s">
        <v>422</v>
      </c>
      <c r="B45" s="4" t="s">
        <v>423</v>
      </c>
      <c r="C45" s="4" t="s">
        <v>15</v>
      </c>
      <c r="D45" s="4" t="s">
        <v>424</v>
      </c>
      <c r="E45" s="4" t="s">
        <v>66</v>
      </c>
      <c r="F45" s="4" t="s">
        <v>425</v>
      </c>
      <c r="G45" s="4" t="s">
        <v>426</v>
      </c>
      <c r="H45" s="11" t="s">
        <v>427</v>
      </c>
      <c r="I45" s="4" t="s">
        <v>70</v>
      </c>
      <c r="J45" s="4" t="s">
        <v>142</v>
      </c>
      <c r="K45" s="4" t="s">
        <v>392</v>
      </c>
      <c r="L45" s="4" t="s">
        <v>428</v>
      </c>
      <c r="M45" s="4" t="s">
        <v>429</v>
      </c>
      <c r="N45" s="4" t="s">
        <v>430</v>
      </c>
      <c r="O45" s="14" t="s">
        <v>95</v>
      </c>
      <c r="P45" s="12" t="s">
        <v>77</v>
      </c>
      <c r="Q45" s="4" t="s">
        <v>77</v>
      </c>
      <c r="R45" s="4" t="s">
        <v>78</v>
      </c>
      <c r="S45" s="4" t="s">
        <v>79</v>
      </c>
      <c r="T45" s="4" t="s">
        <v>79</v>
      </c>
      <c r="U45" s="4" t="s">
        <v>80</v>
      </c>
      <c r="V45" s="13" t="s">
        <v>9</v>
      </c>
      <c r="W45" s="4" t="s">
        <v>396</v>
      </c>
      <c r="X45" s="4"/>
      <c r="Y45" s="4"/>
      <c r="Z45" s="4"/>
      <c r="AA45" s="4" t="s">
        <v>431</v>
      </c>
      <c r="AB45" s="15" t="s">
        <v>97</v>
      </c>
      <c r="AC45" s="15" t="s">
        <v>136</v>
      </c>
      <c r="AD45" s="15" t="s">
        <v>97</v>
      </c>
      <c r="AE45" s="4"/>
    </row>
    <row r="46" customFormat="false" ht="46.25" hidden="false" customHeight="false" outlineLevel="0" collapsed="false">
      <c r="A46" s="4" t="s">
        <v>432</v>
      </c>
      <c r="B46" s="4" t="s">
        <v>433</v>
      </c>
      <c r="C46" s="4" t="s">
        <v>15</v>
      </c>
      <c r="D46" s="4" t="s">
        <v>434</v>
      </c>
      <c r="E46" s="4" t="s">
        <v>66</v>
      </c>
      <c r="F46" s="4" t="s">
        <v>435</v>
      </c>
      <c r="G46" s="4" t="s">
        <v>426</v>
      </c>
      <c r="H46" s="11" t="s">
        <v>427</v>
      </c>
      <c r="I46" s="4" t="s">
        <v>436</v>
      </c>
      <c r="J46" s="4" t="s">
        <v>437</v>
      </c>
      <c r="K46" s="4" t="s">
        <v>392</v>
      </c>
      <c r="L46" s="4" t="s">
        <v>438</v>
      </c>
      <c r="M46" s="4" t="s">
        <v>115</v>
      </c>
      <c r="N46" s="4" t="s">
        <v>439</v>
      </c>
      <c r="O46" s="14" t="s">
        <v>95</v>
      </c>
      <c r="P46" s="12" t="s">
        <v>77</v>
      </c>
      <c r="Q46" s="4" t="s">
        <v>77</v>
      </c>
      <c r="R46" s="4" t="s">
        <v>78</v>
      </c>
      <c r="S46" s="4" t="s">
        <v>79</v>
      </c>
      <c r="T46" s="4" t="s">
        <v>79</v>
      </c>
      <c r="U46" s="4" t="s">
        <v>80</v>
      </c>
      <c r="V46" s="13" t="s">
        <v>9</v>
      </c>
      <c r="W46" s="4" t="s">
        <v>396</v>
      </c>
      <c r="X46" s="4"/>
      <c r="Y46" s="4"/>
      <c r="Z46" s="4"/>
      <c r="AA46" s="4" t="s">
        <v>440</v>
      </c>
      <c r="AB46" s="15" t="s">
        <v>97</v>
      </c>
      <c r="AC46" s="15" t="s">
        <v>136</v>
      </c>
      <c r="AD46" s="15" t="s">
        <v>97</v>
      </c>
      <c r="AE46" s="4"/>
    </row>
    <row r="47" customFormat="false" ht="46.25" hidden="false" customHeight="false" outlineLevel="0" collapsed="false">
      <c r="A47" s="4" t="s">
        <v>441</v>
      </c>
      <c r="B47" s="4" t="s">
        <v>442</v>
      </c>
      <c r="C47" s="4" t="s">
        <v>15</v>
      </c>
      <c r="D47" s="4" t="s">
        <v>443</v>
      </c>
      <c r="E47" s="4" t="s">
        <v>66</v>
      </c>
      <c r="F47" s="4" t="s">
        <v>391</v>
      </c>
      <c r="G47" s="4" t="s">
        <v>444</v>
      </c>
      <c r="H47" s="11"/>
      <c r="I47" s="4" t="s">
        <v>90</v>
      </c>
      <c r="J47" s="4" t="s">
        <v>71</v>
      </c>
      <c r="K47" s="4" t="s">
        <v>332</v>
      </c>
      <c r="L47" s="4" t="s">
        <v>445</v>
      </c>
      <c r="M47" s="4" t="s">
        <v>446</v>
      </c>
      <c r="N47" s="4" t="s">
        <v>447</v>
      </c>
      <c r="O47" s="16" t="s">
        <v>106</v>
      </c>
      <c r="P47" s="15" t="s">
        <v>5</v>
      </c>
      <c r="Q47" s="4" t="s">
        <v>5</v>
      </c>
      <c r="R47" s="4" t="s">
        <v>79</v>
      </c>
      <c r="S47" s="4" t="s">
        <v>79</v>
      </c>
      <c r="T47" s="4" t="s">
        <v>79</v>
      </c>
      <c r="U47" s="4" t="s">
        <v>107</v>
      </c>
      <c r="V47" s="13" t="s">
        <v>9</v>
      </c>
      <c r="W47" s="4" t="s">
        <v>396</v>
      </c>
      <c r="X47" s="4" t="s">
        <v>448</v>
      </c>
      <c r="Y47" s="4" t="s">
        <v>414</v>
      </c>
      <c r="Z47" s="4"/>
      <c r="AA47" s="4" t="s">
        <v>449</v>
      </c>
      <c r="AB47" s="15" t="s">
        <v>97</v>
      </c>
      <c r="AC47" s="15" t="s">
        <v>136</v>
      </c>
      <c r="AD47" s="15" t="s">
        <v>97</v>
      </c>
      <c r="AE47" s="4"/>
    </row>
    <row r="48" customFormat="false" ht="35.05" hidden="false" customHeight="false" outlineLevel="0" collapsed="false">
      <c r="A48" s="4" t="s">
        <v>450</v>
      </c>
      <c r="B48" s="4" t="s">
        <v>451</v>
      </c>
      <c r="C48" s="4" t="s">
        <v>15</v>
      </c>
      <c r="D48" s="4" t="s">
        <v>452</v>
      </c>
      <c r="E48" s="4" t="s">
        <v>163</v>
      </c>
      <c r="F48" s="4" t="s">
        <v>391</v>
      </c>
      <c r="G48" s="4" t="s">
        <v>444</v>
      </c>
      <c r="H48" s="11"/>
      <c r="I48" s="4" t="s">
        <v>90</v>
      </c>
      <c r="J48" s="4" t="s">
        <v>142</v>
      </c>
      <c r="K48" s="4" t="s">
        <v>274</v>
      </c>
      <c r="L48" s="4" t="s">
        <v>453</v>
      </c>
      <c r="M48" s="4" t="s">
        <v>454</v>
      </c>
      <c r="N48" s="4" t="s">
        <v>455</v>
      </c>
      <c r="O48" s="14" t="s">
        <v>95</v>
      </c>
      <c r="P48" s="15" t="s">
        <v>5</v>
      </c>
      <c r="Q48" s="4" t="s">
        <v>77</v>
      </c>
      <c r="R48" s="4" t="s">
        <v>79</v>
      </c>
      <c r="S48" s="4" t="s">
        <v>79</v>
      </c>
      <c r="T48" s="4" t="s">
        <v>79</v>
      </c>
      <c r="U48" s="4" t="s">
        <v>80</v>
      </c>
      <c r="V48" s="13" t="s">
        <v>9</v>
      </c>
      <c r="W48" s="4" t="s">
        <v>396</v>
      </c>
      <c r="X48" s="4" t="s">
        <v>456</v>
      </c>
      <c r="Y48" s="4" t="s">
        <v>414</v>
      </c>
      <c r="Z48" s="4"/>
      <c r="AA48" s="4" t="s">
        <v>457</v>
      </c>
      <c r="AB48" s="15" t="s">
        <v>97</v>
      </c>
      <c r="AC48" s="15" t="s">
        <v>136</v>
      </c>
      <c r="AD48" s="15" t="s">
        <v>97</v>
      </c>
      <c r="AE48" s="4"/>
    </row>
    <row r="49" customFormat="false" ht="46.25" hidden="false" customHeight="false" outlineLevel="0" collapsed="false">
      <c r="A49" s="4" t="s">
        <v>458</v>
      </c>
      <c r="B49" s="4" t="s">
        <v>459</v>
      </c>
      <c r="C49" s="4" t="s">
        <v>15</v>
      </c>
      <c r="D49" s="4" t="s">
        <v>460</v>
      </c>
      <c r="E49" s="4" t="s">
        <v>163</v>
      </c>
      <c r="F49" s="4" t="s">
        <v>425</v>
      </c>
      <c r="G49" s="4"/>
      <c r="H49" s="11"/>
      <c r="I49" s="4" t="s">
        <v>70</v>
      </c>
      <c r="J49" s="4" t="s">
        <v>71</v>
      </c>
      <c r="K49" s="4" t="s">
        <v>392</v>
      </c>
      <c r="L49" s="4" t="s">
        <v>461</v>
      </c>
      <c r="M49" s="4" t="s">
        <v>115</v>
      </c>
      <c r="N49" s="4" t="s">
        <v>462</v>
      </c>
      <c r="O49" s="16" t="s">
        <v>106</v>
      </c>
      <c r="P49" s="15" t="s">
        <v>5</v>
      </c>
      <c r="Q49" s="4" t="s">
        <v>5</v>
      </c>
      <c r="R49" s="4" t="s">
        <v>79</v>
      </c>
      <c r="S49" s="4" t="s">
        <v>79</v>
      </c>
      <c r="T49" s="4" t="s">
        <v>79</v>
      </c>
      <c r="U49" s="4" t="s">
        <v>107</v>
      </c>
      <c r="V49" s="13" t="s">
        <v>9</v>
      </c>
      <c r="W49" s="4" t="s">
        <v>396</v>
      </c>
      <c r="X49" s="4" t="s">
        <v>463</v>
      </c>
      <c r="Y49" s="4"/>
      <c r="Z49" s="4"/>
      <c r="AA49" s="4" t="s">
        <v>405</v>
      </c>
      <c r="AB49" s="15" t="s">
        <v>97</v>
      </c>
      <c r="AC49" s="15" t="s">
        <v>136</v>
      </c>
      <c r="AD49" s="15" t="s">
        <v>97</v>
      </c>
      <c r="AE49" s="4"/>
    </row>
    <row r="50" customFormat="false" ht="46.25" hidden="false" customHeight="false" outlineLevel="0" collapsed="false">
      <c r="A50" s="4" t="s">
        <v>464</v>
      </c>
      <c r="B50" s="4" t="s">
        <v>465</v>
      </c>
      <c r="C50" s="4" t="s">
        <v>15</v>
      </c>
      <c r="D50" s="4" t="s">
        <v>466</v>
      </c>
      <c r="E50" s="4" t="s">
        <v>173</v>
      </c>
      <c r="F50" s="4" t="s">
        <v>391</v>
      </c>
      <c r="G50" s="4"/>
      <c r="H50" s="11"/>
      <c r="I50" s="4" t="s">
        <v>90</v>
      </c>
      <c r="J50" s="4" t="s">
        <v>71</v>
      </c>
      <c r="K50" s="4" t="s">
        <v>392</v>
      </c>
      <c r="L50" s="4" t="s">
        <v>467</v>
      </c>
      <c r="M50" s="4" t="s">
        <v>115</v>
      </c>
      <c r="N50" s="4" t="s">
        <v>468</v>
      </c>
      <c r="O50" s="16" t="s">
        <v>106</v>
      </c>
      <c r="P50" s="15" t="s">
        <v>5</v>
      </c>
      <c r="Q50" s="4" t="s">
        <v>5</v>
      </c>
      <c r="R50" s="4" t="s">
        <v>79</v>
      </c>
      <c r="S50" s="4" t="s">
        <v>79</v>
      </c>
      <c r="T50" s="4" t="s">
        <v>79</v>
      </c>
      <c r="U50" s="4" t="s">
        <v>107</v>
      </c>
      <c r="V50" s="13" t="s">
        <v>9</v>
      </c>
      <c r="W50" s="4" t="s">
        <v>396</v>
      </c>
      <c r="X50" s="4" t="s">
        <v>469</v>
      </c>
      <c r="Y50" s="4"/>
      <c r="Z50" s="4"/>
      <c r="AA50" s="4" t="s">
        <v>405</v>
      </c>
      <c r="AB50" s="15" t="s">
        <v>97</v>
      </c>
      <c r="AC50" s="15" t="s">
        <v>136</v>
      </c>
      <c r="AD50" s="15" t="s">
        <v>97</v>
      </c>
      <c r="AE50" s="4"/>
    </row>
    <row r="51" customFormat="false" ht="46.25" hidden="false" customHeight="false" outlineLevel="0" collapsed="false">
      <c r="A51" s="4" t="s">
        <v>470</v>
      </c>
      <c r="B51" s="4" t="s">
        <v>471</v>
      </c>
      <c r="C51" s="4" t="s">
        <v>15</v>
      </c>
      <c r="D51" s="4" t="s">
        <v>472</v>
      </c>
      <c r="E51" s="4" t="s">
        <v>173</v>
      </c>
      <c r="F51" s="4" t="s">
        <v>473</v>
      </c>
      <c r="G51" s="4" t="s">
        <v>240</v>
      </c>
      <c r="H51" s="11" t="s">
        <v>241</v>
      </c>
      <c r="I51" s="4" t="s">
        <v>70</v>
      </c>
      <c r="J51" s="4" t="s">
        <v>437</v>
      </c>
      <c r="K51" s="4" t="s">
        <v>392</v>
      </c>
      <c r="L51" s="4" t="s">
        <v>474</v>
      </c>
      <c r="M51" s="4" t="s">
        <v>115</v>
      </c>
      <c r="N51" s="4" t="s">
        <v>475</v>
      </c>
      <c r="O51" s="14" t="s">
        <v>95</v>
      </c>
      <c r="P51" s="15" t="s">
        <v>5</v>
      </c>
      <c r="Q51" s="4" t="s">
        <v>5</v>
      </c>
      <c r="R51" s="4" t="s">
        <v>79</v>
      </c>
      <c r="S51" s="4" t="s">
        <v>79</v>
      </c>
      <c r="T51" s="4" t="s">
        <v>79</v>
      </c>
      <c r="U51" s="4" t="s">
        <v>80</v>
      </c>
      <c r="V51" s="13" t="s">
        <v>9</v>
      </c>
      <c r="W51" s="4" t="s">
        <v>396</v>
      </c>
      <c r="X51" s="4"/>
      <c r="Y51" s="4"/>
      <c r="Z51" s="4"/>
      <c r="AA51" s="4" t="s">
        <v>449</v>
      </c>
      <c r="AB51" s="15" t="s">
        <v>97</v>
      </c>
      <c r="AC51" s="15" t="s">
        <v>136</v>
      </c>
      <c r="AD51" s="15" t="s">
        <v>97</v>
      </c>
      <c r="AE51" s="4"/>
    </row>
    <row r="52" customFormat="false" ht="46.25" hidden="false" customHeight="false" outlineLevel="0" collapsed="false">
      <c r="A52" s="4" t="s">
        <v>476</v>
      </c>
      <c r="B52" s="4" t="s">
        <v>477</v>
      </c>
      <c r="C52" s="4" t="s">
        <v>16</v>
      </c>
      <c r="D52" s="4" t="s">
        <v>478</v>
      </c>
      <c r="E52" s="4" t="s">
        <v>66</v>
      </c>
      <c r="F52" s="4" t="s">
        <v>479</v>
      </c>
      <c r="G52" s="4"/>
      <c r="H52" s="11"/>
      <c r="I52" s="4" t="s">
        <v>70</v>
      </c>
      <c r="J52" s="4" t="s">
        <v>71</v>
      </c>
      <c r="K52" s="4" t="s">
        <v>480</v>
      </c>
      <c r="L52" s="4" t="s">
        <v>481</v>
      </c>
      <c r="M52" s="4" t="s">
        <v>482</v>
      </c>
      <c r="N52" s="4" t="s">
        <v>483</v>
      </c>
      <c r="O52" s="14" t="s">
        <v>95</v>
      </c>
      <c r="P52" s="15" t="s">
        <v>5</v>
      </c>
      <c r="Q52" s="4" t="s">
        <v>77</v>
      </c>
      <c r="R52" s="4" t="s">
        <v>79</v>
      </c>
      <c r="S52" s="4" t="s">
        <v>78</v>
      </c>
      <c r="T52" s="4" t="s">
        <v>79</v>
      </c>
      <c r="U52" s="4" t="s">
        <v>107</v>
      </c>
      <c r="V52" s="13" t="s">
        <v>9</v>
      </c>
      <c r="W52" s="4" t="s">
        <v>484</v>
      </c>
      <c r="X52" s="4"/>
      <c r="Y52" s="4"/>
      <c r="Z52" s="4"/>
      <c r="AA52" s="4" t="s">
        <v>485</v>
      </c>
      <c r="AB52" s="12" t="s">
        <v>279</v>
      </c>
      <c r="AC52" s="12" t="s">
        <v>279</v>
      </c>
      <c r="AD52" s="12" t="s">
        <v>279</v>
      </c>
      <c r="AE52" s="4" t="s">
        <v>486</v>
      </c>
    </row>
    <row r="53" customFormat="false" ht="46.25" hidden="false" customHeight="false" outlineLevel="0" collapsed="false">
      <c r="A53" s="4" t="s">
        <v>487</v>
      </c>
      <c r="B53" s="4" t="s">
        <v>488</v>
      </c>
      <c r="C53" s="4" t="s">
        <v>16</v>
      </c>
      <c r="D53" s="4" t="s">
        <v>489</v>
      </c>
      <c r="E53" s="4" t="s">
        <v>66</v>
      </c>
      <c r="F53" s="4" t="s">
        <v>490</v>
      </c>
      <c r="G53" s="4" t="s">
        <v>491</v>
      </c>
      <c r="H53" s="11" t="s">
        <v>492</v>
      </c>
      <c r="I53" s="4" t="s">
        <v>141</v>
      </c>
      <c r="J53" s="4" t="s">
        <v>142</v>
      </c>
      <c r="K53" s="4" t="s">
        <v>480</v>
      </c>
      <c r="L53" s="4" t="s">
        <v>493</v>
      </c>
      <c r="M53" s="4" t="s">
        <v>494</v>
      </c>
      <c r="N53" s="4" t="s">
        <v>495</v>
      </c>
      <c r="O53" s="14" t="s">
        <v>95</v>
      </c>
      <c r="P53" s="12" t="s">
        <v>77</v>
      </c>
      <c r="Q53" s="4" t="s">
        <v>77</v>
      </c>
      <c r="R53" s="4" t="s">
        <v>78</v>
      </c>
      <c r="S53" s="4" t="s">
        <v>79</v>
      </c>
      <c r="T53" s="4" t="s">
        <v>79</v>
      </c>
      <c r="U53" s="4" t="s">
        <v>80</v>
      </c>
      <c r="V53" s="13" t="s">
        <v>9</v>
      </c>
      <c r="W53" s="4" t="s">
        <v>484</v>
      </c>
      <c r="X53" s="4"/>
      <c r="Y53" s="4"/>
      <c r="Z53" s="4"/>
      <c r="AA53" s="4" t="s">
        <v>496</v>
      </c>
      <c r="AB53" s="15" t="s">
        <v>97</v>
      </c>
      <c r="AC53" s="15" t="s">
        <v>136</v>
      </c>
      <c r="AD53" s="15" t="s">
        <v>97</v>
      </c>
      <c r="AE53" s="4"/>
    </row>
    <row r="54" customFormat="false" ht="46.25" hidden="false" customHeight="false" outlineLevel="0" collapsed="false">
      <c r="A54" s="4" t="s">
        <v>497</v>
      </c>
      <c r="B54" s="4" t="s">
        <v>498</v>
      </c>
      <c r="C54" s="4" t="s">
        <v>16</v>
      </c>
      <c r="D54" s="4" t="s">
        <v>499</v>
      </c>
      <c r="E54" s="4" t="s">
        <v>66</v>
      </c>
      <c r="F54" s="4" t="s">
        <v>500</v>
      </c>
      <c r="G54" s="4"/>
      <c r="H54" s="11"/>
      <c r="I54" s="4" t="s">
        <v>90</v>
      </c>
      <c r="J54" s="4" t="s">
        <v>71</v>
      </c>
      <c r="K54" s="4" t="s">
        <v>501</v>
      </c>
      <c r="L54" s="4" t="s">
        <v>502</v>
      </c>
      <c r="M54" s="4" t="s">
        <v>503</v>
      </c>
      <c r="N54" s="4" t="s">
        <v>504</v>
      </c>
      <c r="O54" s="16" t="s">
        <v>106</v>
      </c>
      <c r="P54" s="15" t="s">
        <v>5</v>
      </c>
      <c r="Q54" s="4" t="s">
        <v>5</v>
      </c>
      <c r="R54" s="4" t="s">
        <v>79</v>
      </c>
      <c r="S54" s="4" t="s">
        <v>79</v>
      </c>
      <c r="T54" s="4" t="s">
        <v>79</v>
      </c>
      <c r="U54" s="4" t="s">
        <v>107</v>
      </c>
      <c r="V54" s="13" t="s">
        <v>9</v>
      </c>
      <c r="W54" s="4" t="s">
        <v>484</v>
      </c>
      <c r="X54" s="4" t="s">
        <v>505</v>
      </c>
      <c r="Y54" s="4" t="s">
        <v>506</v>
      </c>
      <c r="Z54" s="4"/>
      <c r="AA54" s="4" t="s">
        <v>507</v>
      </c>
      <c r="AB54" s="15" t="s">
        <v>97</v>
      </c>
      <c r="AC54" s="15" t="s">
        <v>136</v>
      </c>
      <c r="AD54" s="15" t="s">
        <v>97</v>
      </c>
      <c r="AE54" s="4"/>
    </row>
    <row r="55" customFormat="false" ht="46.25" hidden="false" customHeight="false" outlineLevel="0" collapsed="false">
      <c r="A55" s="4" t="s">
        <v>508</v>
      </c>
      <c r="B55" s="4" t="s">
        <v>509</v>
      </c>
      <c r="C55" s="4" t="s">
        <v>16</v>
      </c>
      <c r="D55" s="4" t="s">
        <v>510</v>
      </c>
      <c r="E55" s="4" t="s">
        <v>66</v>
      </c>
      <c r="F55" s="4" t="s">
        <v>500</v>
      </c>
      <c r="G55" s="4"/>
      <c r="H55" s="11"/>
      <c r="I55" s="4" t="s">
        <v>141</v>
      </c>
      <c r="J55" s="4" t="s">
        <v>71</v>
      </c>
      <c r="K55" s="4" t="s">
        <v>480</v>
      </c>
      <c r="L55" s="4" t="s">
        <v>511</v>
      </c>
      <c r="M55" s="4" t="s">
        <v>512</v>
      </c>
      <c r="N55" s="4" t="s">
        <v>513</v>
      </c>
      <c r="O55" s="16" t="s">
        <v>106</v>
      </c>
      <c r="P55" s="15" t="s">
        <v>5</v>
      </c>
      <c r="Q55" s="4" t="s">
        <v>5</v>
      </c>
      <c r="R55" s="4" t="s">
        <v>79</v>
      </c>
      <c r="S55" s="4" t="s">
        <v>79</v>
      </c>
      <c r="T55" s="4" t="s">
        <v>79</v>
      </c>
      <c r="U55" s="4" t="s">
        <v>107</v>
      </c>
      <c r="V55" s="13" t="s">
        <v>9</v>
      </c>
      <c r="W55" s="4" t="s">
        <v>484</v>
      </c>
      <c r="X55" s="4" t="s">
        <v>514</v>
      </c>
      <c r="Y55" s="4"/>
      <c r="Z55" s="4"/>
      <c r="AA55" s="4" t="s">
        <v>507</v>
      </c>
      <c r="AB55" s="15" t="s">
        <v>97</v>
      </c>
      <c r="AC55" s="15" t="s">
        <v>136</v>
      </c>
      <c r="AD55" s="15" t="s">
        <v>97</v>
      </c>
      <c r="AE55" s="4"/>
    </row>
    <row r="56" customFormat="false" ht="46.25" hidden="false" customHeight="false" outlineLevel="0" collapsed="false">
      <c r="A56" s="4" t="s">
        <v>515</v>
      </c>
      <c r="B56" s="4" t="s">
        <v>516</v>
      </c>
      <c r="C56" s="4" t="s">
        <v>16</v>
      </c>
      <c r="D56" s="4" t="s">
        <v>517</v>
      </c>
      <c r="E56" s="4" t="s">
        <v>66</v>
      </c>
      <c r="F56" s="4" t="s">
        <v>518</v>
      </c>
      <c r="G56" s="4" t="s">
        <v>519</v>
      </c>
      <c r="H56" s="11"/>
      <c r="I56" s="4" t="s">
        <v>90</v>
      </c>
      <c r="J56" s="4" t="s">
        <v>71</v>
      </c>
      <c r="K56" s="4" t="s">
        <v>480</v>
      </c>
      <c r="L56" s="4" t="s">
        <v>520</v>
      </c>
      <c r="M56" s="4" t="s">
        <v>521</v>
      </c>
      <c r="N56" s="4" t="s">
        <v>522</v>
      </c>
      <c r="O56" s="14" t="s">
        <v>95</v>
      </c>
      <c r="P56" s="15" t="s">
        <v>5</v>
      </c>
      <c r="Q56" s="4" t="s">
        <v>77</v>
      </c>
      <c r="R56" s="4" t="s">
        <v>79</v>
      </c>
      <c r="S56" s="4" t="s">
        <v>79</v>
      </c>
      <c r="T56" s="4" t="s">
        <v>79</v>
      </c>
      <c r="U56" s="4" t="s">
        <v>80</v>
      </c>
      <c r="V56" s="13" t="s">
        <v>9</v>
      </c>
      <c r="W56" s="4" t="s">
        <v>484</v>
      </c>
      <c r="X56" s="4" t="s">
        <v>523</v>
      </c>
      <c r="Y56" s="4" t="s">
        <v>506</v>
      </c>
      <c r="Z56" s="4"/>
      <c r="AA56" s="4" t="s">
        <v>524</v>
      </c>
      <c r="AB56" s="15" t="s">
        <v>97</v>
      </c>
      <c r="AC56" s="15" t="s">
        <v>136</v>
      </c>
      <c r="AD56" s="15" t="s">
        <v>97</v>
      </c>
      <c r="AE56" s="4"/>
    </row>
    <row r="57" customFormat="false" ht="46.25" hidden="false" customHeight="false" outlineLevel="0" collapsed="false">
      <c r="A57" s="4" t="s">
        <v>525</v>
      </c>
      <c r="B57" s="4" t="s">
        <v>526</v>
      </c>
      <c r="C57" s="4" t="s">
        <v>16</v>
      </c>
      <c r="D57" s="4" t="s">
        <v>527</v>
      </c>
      <c r="E57" s="4" t="s">
        <v>66</v>
      </c>
      <c r="F57" s="4" t="s">
        <v>500</v>
      </c>
      <c r="G57" s="4"/>
      <c r="H57" s="11"/>
      <c r="I57" s="4" t="s">
        <v>70</v>
      </c>
      <c r="J57" s="4" t="s">
        <v>71</v>
      </c>
      <c r="K57" s="4" t="s">
        <v>480</v>
      </c>
      <c r="L57" s="4" t="s">
        <v>528</v>
      </c>
      <c r="M57" s="4" t="s">
        <v>529</v>
      </c>
      <c r="N57" s="4" t="s">
        <v>530</v>
      </c>
      <c r="O57" s="16" t="s">
        <v>106</v>
      </c>
      <c r="P57" s="15" t="s">
        <v>5</v>
      </c>
      <c r="Q57" s="4" t="s">
        <v>5</v>
      </c>
      <c r="R57" s="4" t="s">
        <v>79</v>
      </c>
      <c r="S57" s="4" t="s">
        <v>79</v>
      </c>
      <c r="T57" s="4" t="s">
        <v>79</v>
      </c>
      <c r="U57" s="4" t="s">
        <v>107</v>
      </c>
      <c r="V57" s="13" t="s">
        <v>9</v>
      </c>
      <c r="W57" s="4" t="s">
        <v>484</v>
      </c>
      <c r="X57" s="4" t="s">
        <v>531</v>
      </c>
      <c r="Y57" s="4"/>
      <c r="Z57" s="4"/>
      <c r="AA57" s="4" t="s">
        <v>507</v>
      </c>
      <c r="AB57" s="15" t="s">
        <v>97</v>
      </c>
      <c r="AC57" s="15" t="s">
        <v>136</v>
      </c>
      <c r="AD57" s="15" t="s">
        <v>97</v>
      </c>
      <c r="AE57" s="4"/>
    </row>
    <row r="58" customFormat="false" ht="46.25" hidden="false" customHeight="false" outlineLevel="0" collapsed="false">
      <c r="A58" s="4" t="s">
        <v>532</v>
      </c>
      <c r="B58" s="4" t="s">
        <v>533</v>
      </c>
      <c r="C58" s="4" t="s">
        <v>16</v>
      </c>
      <c r="D58" s="4" t="s">
        <v>534</v>
      </c>
      <c r="E58" s="4" t="s">
        <v>66</v>
      </c>
      <c r="F58" s="4" t="s">
        <v>479</v>
      </c>
      <c r="G58" s="4" t="s">
        <v>426</v>
      </c>
      <c r="H58" s="11" t="s">
        <v>427</v>
      </c>
      <c r="I58" s="4" t="s">
        <v>70</v>
      </c>
      <c r="J58" s="4" t="s">
        <v>71</v>
      </c>
      <c r="K58" s="4" t="s">
        <v>480</v>
      </c>
      <c r="L58" s="4" t="s">
        <v>535</v>
      </c>
      <c r="M58" s="4" t="s">
        <v>115</v>
      </c>
      <c r="N58" s="4" t="s">
        <v>536</v>
      </c>
      <c r="O58" s="14" t="s">
        <v>95</v>
      </c>
      <c r="P58" s="15" t="s">
        <v>5</v>
      </c>
      <c r="Q58" s="4" t="s">
        <v>77</v>
      </c>
      <c r="R58" s="4" t="s">
        <v>79</v>
      </c>
      <c r="S58" s="4" t="s">
        <v>79</v>
      </c>
      <c r="T58" s="4" t="s">
        <v>79</v>
      </c>
      <c r="U58" s="4" t="s">
        <v>80</v>
      </c>
      <c r="V58" s="13" t="s">
        <v>9</v>
      </c>
      <c r="W58" s="4" t="s">
        <v>484</v>
      </c>
      <c r="X58" s="4"/>
      <c r="Y58" s="4"/>
      <c r="Z58" s="4"/>
      <c r="AA58" s="4" t="s">
        <v>524</v>
      </c>
      <c r="AB58" s="15" t="s">
        <v>97</v>
      </c>
      <c r="AC58" s="15" t="s">
        <v>136</v>
      </c>
      <c r="AD58" s="15" t="s">
        <v>97</v>
      </c>
      <c r="AE58" s="4"/>
    </row>
    <row r="59" customFormat="false" ht="46.25" hidden="false" customHeight="false" outlineLevel="0" collapsed="false">
      <c r="A59" s="4" t="s">
        <v>537</v>
      </c>
      <c r="B59" s="4" t="s">
        <v>538</v>
      </c>
      <c r="C59" s="4" t="s">
        <v>17</v>
      </c>
      <c r="D59" s="4" t="s">
        <v>539</v>
      </c>
      <c r="E59" s="4" t="s">
        <v>66</v>
      </c>
      <c r="F59" s="4" t="s">
        <v>540</v>
      </c>
      <c r="G59" s="4"/>
      <c r="H59" s="11"/>
      <c r="I59" s="4" t="s">
        <v>70</v>
      </c>
      <c r="J59" s="4" t="s">
        <v>71</v>
      </c>
      <c r="K59" s="4" t="s">
        <v>541</v>
      </c>
      <c r="L59" s="4" t="s">
        <v>542</v>
      </c>
      <c r="M59" s="4" t="s">
        <v>115</v>
      </c>
      <c r="N59" s="4" t="s">
        <v>543</v>
      </c>
      <c r="O59" s="14" t="s">
        <v>95</v>
      </c>
      <c r="P59" s="15" t="s">
        <v>5</v>
      </c>
      <c r="Q59" s="4" t="s">
        <v>77</v>
      </c>
      <c r="R59" s="4" t="s">
        <v>79</v>
      </c>
      <c r="S59" s="4" t="s">
        <v>78</v>
      </c>
      <c r="T59" s="4" t="s">
        <v>79</v>
      </c>
      <c r="U59" s="4" t="s">
        <v>107</v>
      </c>
      <c r="V59" s="13" t="s">
        <v>9</v>
      </c>
      <c r="W59" s="4" t="s">
        <v>544</v>
      </c>
      <c r="X59" s="4"/>
      <c r="Y59" s="4"/>
      <c r="Z59" s="4"/>
      <c r="AA59" s="4" t="s">
        <v>545</v>
      </c>
      <c r="AB59" s="12" t="s">
        <v>279</v>
      </c>
      <c r="AC59" s="12" t="s">
        <v>279</v>
      </c>
      <c r="AD59" s="12" t="s">
        <v>279</v>
      </c>
      <c r="AE59" s="4" t="s">
        <v>546</v>
      </c>
    </row>
    <row r="60" customFormat="false" ht="46.25" hidden="false" customHeight="false" outlineLevel="0" collapsed="false">
      <c r="A60" s="4" t="s">
        <v>547</v>
      </c>
      <c r="B60" s="4" t="s">
        <v>548</v>
      </c>
      <c r="C60" s="4" t="s">
        <v>17</v>
      </c>
      <c r="D60" s="4" t="s">
        <v>549</v>
      </c>
      <c r="E60" s="4" t="s">
        <v>66</v>
      </c>
      <c r="F60" s="4" t="s">
        <v>540</v>
      </c>
      <c r="G60" s="4" t="s">
        <v>550</v>
      </c>
      <c r="H60" s="11" t="s">
        <v>551</v>
      </c>
      <c r="I60" s="4" t="s">
        <v>141</v>
      </c>
      <c r="J60" s="4" t="s">
        <v>552</v>
      </c>
      <c r="K60" s="4" t="s">
        <v>541</v>
      </c>
      <c r="L60" s="4" t="s">
        <v>553</v>
      </c>
      <c r="M60" s="4" t="s">
        <v>554</v>
      </c>
      <c r="N60" s="4" t="s">
        <v>555</v>
      </c>
      <c r="O60" s="14" t="s">
        <v>95</v>
      </c>
      <c r="P60" s="12" t="s">
        <v>77</v>
      </c>
      <c r="Q60" s="4" t="s">
        <v>77</v>
      </c>
      <c r="R60" s="4" t="s">
        <v>78</v>
      </c>
      <c r="S60" s="4" t="s">
        <v>79</v>
      </c>
      <c r="T60" s="4" t="s">
        <v>79</v>
      </c>
      <c r="U60" s="4" t="s">
        <v>80</v>
      </c>
      <c r="V60" s="13" t="s">
        <v>9</v>
      </c>
      <c r="W60" s="4" t="s">
        <v>544</v>
      </c>
      <c r="X60" s="4"/>
      <c r="Y60" s="4"/>
      <c r="Z60" s="4"/>
      <c r="AA60" s="4" t="s">
        <v>556</v>
      </c>
      <c r="AB60" s="15" t="s">
        <v>97</v>
      </c>
      <c r="AC60" s="12" t="s">
        <v>279</v>
      </c>
      <c r="AD60" s="15" t="s">
        <v>97</v>
      </c>
      <c r="AE60" s="4"/>
    </row>
    <row r="61" customFormat="false" ht="46.25" hidden="false" customHeight="false" outlineLevel="0" collapsed="false">
      <c r="A61" s="4" t="s">
        <v>557</v>
      </c>
      <c r="B61" s="4" t="s">
        <v>558</v>
      </c>
      <c r="C61" s="4" t="s">
        <v>17</v>
      </c>
      <c r="D61" s="4" t="s">
        <v>559</v>
      </c>
      <c r="E61" s="4" t="s">
        <v>66</v>
      </c>
      <c r="F61" s="4" t="s">
        <v>540</v>
      </c>
      <c r="G61" s="4" t="s">
        <v>550</v>
      </c>
      <c r="H61" s="11" t="s">
        <v>551</v>
      </c>
      <c r="I61" s="4" t="s">
        <v>141</v>
      </c>
      <c r="J61" s="4" t="s">
        <v>552</v>
      </c>
      <c r="K61" s="4" t="s">
        <v>541</v>
      </c>
      <c r="L61" s="4" t="s">
        <v>560</v>
      </c>
      <c r="M61" s="4" t="s">
        <v>561</v>
      </c>
      <c r="N61" s="4" t="s">
        <v>562</v>
      </c>
      <c r="O61" s="14" t="s">
        <v>95</v>
      </c>
      <c r="P61" s="15" t="s">
        <v>5</v>
      </c>
      <c r="Q61" s="4" t="s">
        <v>77</v>
      </c>
      <c r="R61" s="4" t="s">
        <v>79</v>
      </c>
      <c r="S61" s="4" t="s">
        <v>79</v>
      </c>
      <c r="T61" s="4" t="s">
        <v>79</v>
      </c>
      <c r="U61" s="4" t="s">
        <v>80</v>
      </c>
      <c r="V61" s="13" t="s">
        <v>9</v>
      </c>
      <c r="W61" s="4" t="s">
        <v>544</v>
      </c>
      <c r="X61" s="4"/>
      <c r="Y61" s="4"/>
      <c r="Z61" s="4"/>
      <c r="AA61" s="4" t="s">
        <v>563</v>
      </c>
      <c r="AB61" s="15" t="s">
        <v>97</v>
      </c>
      <c r="AC61" s="12" t="s">
        <v>279</v>
      </c>
      <c r="AD61" s="15" t="s">
        <v>97</v>
      </c>
      <c r="AE61" s="4"/>
    </row>
    <row r="62" customFormat="false" ht="57.45" hidden="false" customHeight="false" outlineLevel="0" collapsed="false">
      <c r="A62" s="4" t="s">
        <v>564</v>
      </c>
      <c r="B62" s="4" t="s">
        <v>565</v>
      </c>
      <c r="C62" s="4" t="s">
        <v>17</v>
      </c>
      <c r="D62" s="4" t="s">
        <v>566</v>
      </c>
      <c r="E62" s="4" t="s">
        <v>66</v>
      </c>
      <c r="F62" s="4" t="s">
        <v>540</v>
      </c>
      <c r="G62" s="4"/>
      <c r="H62" s="11"/>
      <c r="I62" s="4" t="s">
        <v>90</v>
      </c>
      <c r="J62" s="4" t="s">
        <v>71</v>
      </c>
      <c r="K62" s="4" t="s">
        <v>541</v>
      </c>
      <c r="L62" s="4" t="s">
        <v>567</v>
      </c>
      <c r="M62" s="4" t="s">
        <v>115</v>
      </c>
      <c r="N62" s="4" t="s">
        <v>568</v>
      </c>
      <c r="O62" s="16" t="s">
        <v>106</v>
      </c>
      <c r="P62" s="15" t="s">
        <v>5</v>
      </c>
      <c r="Q62" s="4" t="s">
        <v>5</v>
      </c>
      <c r="R62" s="4" t="s">
        <v>79</v>
      </c>
      <c r="S62" s="4" t="s">
        <v>79</v>
      </c>
      <c r="T62" s="4" t="s">
        <v>79</v>
      </c>
      <c r="U62" s="4" t="s">
        <v>107</v>
      </c>
      <c r="V62" s="13" t="s">
        <v>9</v>
      </c>
      <c r="W62" s="4" t="s">
        <v>544</v>
      </c>
      <c r="X62" s="4"/>
      <c r="Y62" s="4"/>
      <c r="Z62" s="4"/>
      <c r="AA62" s="4" t="s">
        <v>569</v>
      </c>
      <c r="AB62" s="15" t="s">
        <v>97</v>
      </c>
      <c r="AC62" s="12" t="s">
        <v>279</v>
      </c>
      <c r="AD62" s="15" t="s">
        <v>97</v>
      </c>
      <c r="AE62" s="4"/>
    </row>
    <row r="63" customFormat="false" ht="46.25" hidden="false" customHeight="false" outlineLevel="0" collapsed="false">
      <c r="A63" s="4" t="s">
        <v>570</v>
      </c>
      <c r="B63" s="4" t="s">
        <v>571</v>
      </c>
      <c r="C63" s="4" t="s">
        <v>17</v>
      </c>
      <c r="D63" s="4" t="s">
        <v>572</v>
      </c>
      <c r="E63" s="4" t="s">
        <v>66</v>
      </c>
      <c r="F63" s="4" t="s">
        <v>573</v>
      </c>
      <c r="G63" s="4" t="s">
        <v>574</v>
      </c>
      <c r="H63" s="11" t="s">
        <v>575</v>
      </c>
      <c r="I63" s="4" t="s">
        <v>90</v>
      </c>
      <c r="J63" s="4" t="s">
        <v>552</v>
      </c>
      <c r="K63" s="4" t="s">
        <v>541</v>
      </c>
      <c r="L63" s="4" t="s">
        <v>576</v>
      </c>
      <c r="M63" s="4" t="s">
        <v>577</v>
      </c>
      <c r="N63" s="4" t="s">
        <v>578</v>
      </c>
      <c r="O63" s="14" t="s">
        <v>95</v>
      </c>
      <c r="P63" s="12" t="s">
        <v>77</v>
      </c>
      <c r="Q63" s="4" t="s">
        <v>77</v>
      </c>
      <c r="R63" s="4" t="s">
        <v>78</v>
      </c>
      <c r="S63" s="4" t="s">
        <v>79</v>
      </c>
      <c r="T63" s="4" t="s">
        <v>79</v>
      </c>
      <c r="U63" s="4" t="s">
        <v>80</v>
      </c>
      <c r="V63" s="13" t="s">
        <v>9</v>
      </c>
      <c r="W63" s="4" t="s">
        <v>544</v>
      </c>
      <c r="X63" s="4"/>
      <c r="Y63" s="4"/>
      <c r="Z63" s="4"/>
      <c r="AA63" s="4" t="s">
        <v>556</v>
      </c>
      <c r="AB63" s="15" t="s">
        <v>97</v>
      </c>
      <c r="AC63" s="12" t="s">
        <v>279</v>
      </c>
      <c r="AD63" s="15" t="s">
        <v>97</v>
      </c>
      <c r="AE63" s="4"/>
    </row>
    <row r="64" customFormat="false" ht="46.25" hidden="false" customHeight="false" outlineLevel="0" collapsed="false">
      <c r="A64" s="4" t="s">
        <v>579</v>
      </c>
      <c r="B64" s="4" t="s">
        <v>580</v>
      </c>
      <c r="C64" s="4" t="s">
        <v>17</v>
      </c>
      <c r="D64" s="4" t="s">
        <v>581</v>
      </c>
      <c r="E64" s="4" t="s">
        <v>66</v>
      </c>
      <c r="F64" s="4" t="s">
        <v>582</v>
      </c>
      <c r="G64" s="4"/>
      <c r="H64" s="11"/>
      <c r="I64" s="4" t="s">
        <v>70</v>
      </c>
      <c r="J64" s="4" t="s">
        <v>71</v>
      </c>
      <c r="K64" s="4" t="s">
        <v>541</v>
      </c>
      <c r="L64" s="4" t="s">
        <v>583</v>
      </c>
      <c r="M64" s="4" t="s">
        <v>115</v>
      </c>
      <c r="N64" s="4" t="s">
        <v>584</v>
      </c>
      <c r="O64" s="13" t="s">
        <v>191</v>
      </c>
      <c r="P64" s="15" t="s">
        <v>6</v>
      </c>
      <c r="Q64" s="4" t="s">
        <v>6</v>
      </c>
      <c r="R64" s="4" t="s">
        <v>79</v>
      </c>
      <c r="S64" s="4" t="s">
        <v>79</v>
      </c>
      <c r="T64" s="4" t="s">
        <v>79</v>
      </c>
      <c r="U64" s="4" t="s">
        <v>107</v>
      </c>
      <c r="V64" s="13" t="s">
        <v>9</v>
      </c>
      <c r="W64" s="4" t="s">
        <v>544</v>
      </c>
      <c r="X64" s="4"/>
      <c r="Y64" s="4"/>
      <c r="Z64" s="4"/>
      <c r="AA64" s="4" t="s">
        <v>585</v>
      </c>
      <c r="AB64" s="15" t="s">
        <v>97</v>
      </c>
      <c r="AC64" s="12" t="s">
        <v>279</v>
      </c>
      <c r="AD64" s="15" t="s">
        <v>97</v>
      </c>
      <c r="AE64" s="4"/>
    </row>
    <row r="65" customFormat="false" ht="46.25" hidden="false" customHeight="false" outlineLevel="0" collapsed="false">
      <c r="A65" s="4" t="s">
        <v>586</v>
      </c>
      <c r="B65" s="4" t="s">
        <v>587</v>
      </c>
      <c r="C65" s="4" t="s">
        <v>17</v>
      </c>
      <c r="D65" s="4" t="s">
        <v>588</v>
      </c>
      <c r="E65" s="4" t="s">
        <v>66</v>
      </c>
      <c r="F65" s="4" t="s">
        <v>582</v>
      </c>
      <c r="G65" s="4"/>
      <c r="H65" s="11"/>
      <c r="I65" s="4" t="s">
        <v>70</v>
      </c>
      <c r="J65" s="4" t="s">
        <v>71</v>
      </c>
      <c r="K65" s="4" t="s">
        <v>541</v>
      </c>
      <c r="L65" s="4" t="s">
        <v>589</v>
      </c>
      <c r="M65" s="4" t="s">
        <v>115</v>
      </c>
      <c r="N65" s="4" t="s">
        <v>590</v>
      </c>
      <c r="O65" s="13" t="s">
        <v>191</v>
      </c>
      <c r="P65" s="15" t="s">
        <v>6</v>
      </c>
      <c r="Q65" s="4" t="s">
        <v>6</v>
      </c>
      <c r="R65" s="4" t="s">
        <v>79</v>
      </c>
      <c r="S65" s="4" t="s">
        <v>79</v>
      </c>
      <c r="T65" s="4" t="s">
        <v>79</v>
      </c>
      <c r="U65" s="4" t="s">
        <v>107</v>
      </c>
      <c r="V65" s="13" t="s">
        <v>9</v>
      </c>
      <c r="W65" s="4" t="s">
        <v>544</v>
      </c>
      <c r="X65" s="4"/>
      <c r="Y65" s="4"/>
      <c r="Z65" s="4"/>
      <c r="AA65" s="4" t="s">
        <v>585</v>
      </c>
      <c r="AB65" s="15" t="s">
        <v>97</v>
      </c>
      <c r="AC65" s="12" t="s">
        <v>279</v>
      </c>
      <c r="AD65" s="15" t="s">
        <v>97</v>
      </c>
      <c r="AE65" s="4"/>
    </row>
    <row r="66" customFormat="false" ht="46.25" hidden="false" customHeight="false" outlineLevel="0" collapsed="false">
      <c r="A66" s="4" t="s">
        <v>591</v>
      </c>
      <c r="B66" s="4" t="s">
        <v>592</v>
      </c>
      <c r="C66" s="4" t="s">
        <v>17</v>
      </c>
      <c r="D66" s="4" t="s">
        <v>593</v>
      </c>
      <c r="E66" s="4" t="s">
        <v>66</v>
      </c>
      <c r="F66" s="4" t="s">
        <v>594</v>
      </c>
      <c r="G66" s="4" t="s">
        <v>595</v>
      </c>
      <c r="H66" s="11" t="s">
        <v>596</v>
      </c>
      <c r="I66" s="4" t="s">
        <v>90</v>
      </c>
      <c r="J66" s="4" t="s">
        <v>142</v>
      </c>
      <c r="K66" s="4" t="s">
        <v>541</v>
      </c>
      <c r="L66" s="4" t="s">
        <v>597</v>
      </c>
      <c r="M66" s="4" t="s">
        <v>115</v>
      </c>
      <c r="N66" s="4" t="s">
        <v>598</v>
      </c>
      <c r="O66" s="16" t="s">
        <v>106</v>
      </c>
      <c r="P66" s="15" t="s">
        <v>5</v>
      </c>
      <c r="Q66" s="4" t="s">
        <v>5</v>
      </c>
      <c r="R66" s="4" t="s">
        <v>79</v>
      </c>
      <c r="S66" s="4" t="s">
        <v>79</v>
      </c>
      <c r="T66" s="4" t="s">
        <v>79</v>
      </c>
      <c r="U66" s="4" t="s">
        <v>80</v>
      </c>
      <c r="V66" s="13" t="s">
        <v>9</v>
      </c>
      <c r="W66" s="4" t="s">
        <v>544</v>
      </c>
      <c r="X66" s="4"/>
      <c r="Y66" s="4"/>
      <c r="Z66" s="4"/>
      <c r="AA66" s="4" t="s">
        <v>563</v>
      </c>
      <c r="AB66" s="15" t="s">
        <v>97</v>
      </c>
      <c r="AC66" s="12" t="s">
        <v>279</v>
      </c>
      <c r="AD66" s="15" t="s">
        <v>97</v>
      </c>
      <c r="AE66" s="4"/>
    </row>
    <row r="67" customFormat="false" ht="46.25" hidden="false" customHeight="false" outlineLevel="0" collapsed="false">
      <c r="A67" s="4" t="s">
        <v>599</v>
      </c>
      <c r="B67" s="4" t="s">
        <v>600</v>
      </c>
      <c r="C67" s="4" t="s">
        <v>17</v>
      </c>
      <c r="D67" s="4" t="s">
        <v>601</v>
      </c>
      <c r="E67" s="4" t="s">
        <v>66</v>
      </c>
      <c r="F67" s="4" t="s">
        <v>602</v>
      </c>
      <c r="G67" s="4"/>
      <c r="H67" s="11"/>
      <c r="I67" s="4" t="s">
        <v>70</v>
      </c>
      <c r="J67" s="4" t="s">
        <v>71</v>
      </c>
      <c r="K67" s="4" t="s">
        <v>541</v>
      </c>
      <c r="L67" s="4" t="s">
        <v>603</v>
      </c>
      <c r="M67" s="4" t="s">
        <v>115</v>
      </c>
      <c r="N67" s="4" t="s">
        <v>604</v>
      </c>
      <c r="O67" s="16" t="s">
        <v>106</v>
      </c>
      <c r="P67" s="15" t="s">
        <v>5</v>
      </c>
      <c r="Q67" s="4" t="s">
        <v>5</v>
      </c>
      <c r="R67" s="4" t="s">
        <v>79</v>
      </c>
      <c r="S67" s="4" t="s">
        <v>79</v>
      </c>
      <c r="T67" s="4" t="s">
        <v>79</v>
      </c>
      <c r="U67" s="4" t="s">
        <v>107</v>
      </c>
      <c r="V67" s="13" t="s">
        <v>9</v>
      </c>
      <c r="W67" s="4" t="s">
        <v>544</v>
      </c>
      <c r="X67" s="4"/>
      <c r="Y67" s="4"/>
      <c r="Z67" s="4"/>
      <c r="AA67" s="4" t="s">
        <v>569</v>
      </c>
      <c r="AB67" s="15" t="s">
        <v>97</v>
      </c>
      <c r="AC67" s="15" t="s">
        <v>136</v>
      </c>
      <c r="AD67" s="15" t="s">
        <v>97</v>
      </c>
      <c r="AE67" s="4"/>
    </row>
    <row r="68" customFormat="false" ht="46.25" hidden="false" customHeight="false" outlineLevel="0" collapsed="false">
      <c r="A68" s="4" t="s">
        <v>605</v>
      </c>
      <c r="B68" s="4" t="s">
        <v>606</v>
      </c>
      <c r="C68" s="4" t="s">
        <v>17</v>
      </c>
      <c r="D68" s="4" t="s">
        <v>607</v>
      </c>
      <c r="E68" s="4" t="s">
        <v>163</v>
      </c>
      <c r="F68" s="4" t="s">
        <v>540</v>
      </c>
      <c r="G68" s="4"/>
      <c r="H68" s="11"/>
      <c r="I68" s="4" t="s">
        <v>90</v>
      </c>
      <c r="J68" s="4" t="s">
        <v>71</v>
      </c>
      <c r="K68" s="4" t="s">
        <v>541</v>
      </c>
      <c r="L68" s="4" t="s">
        <v>608</v>
      </c>
      <c r="M68" s="4" t="s">
        <v>115</v>
      </c>
      <c r="N68" s="4" t="s">
        <v>609</v>
      </c>
      <c r="O68" s="14" t="s">
        <v>95</v>
      </c>
      <c r="P68" s="15" t="s">
        <v>5</v>
      </c>
      <c r="Q68" s="4" t="s">
        <v>77</v>
      </c>
      <c r="R68" s="4" t="s">
        <v>79</v>
      </c>
      <c r="S68" s="4" t="s">
        <v>79</v>
      </c>
      <c r="T68" s="4" t="s">
        <v>79</v>
      </c>
      <c r="U68" s="4" t="s">
        <v>107</v>
      </c>
      <c r="V68" s="13" t="s">
        <v>9</v>
      </c>
      <c r="W68" s="4" t="s">
        <v>544</v>
      </c>
      <c r="X68" s="4"/>
      <c r="Y68" s="4"/>
      <c r="Z68" s="4"/>
      <c r="AA68" s="4" t="s">
        <v>569</v>
      </c>
      <c r="AB68" s="15" t="s">
        <v>97</v>
      </c>
      <c r="AC68" s="15" t="s">
        <v>136</v>
      </c>
      <c r="AD68" s="15" t="s">
        <v>97</v>
      </c>
      <c r="AE68" s="4"/>
    </row>
    <row r="69" customFormat="false" ht="46.25" hidden="false" customHeight="false" outlineLevel="0" collapsed="false">
      <c r="A69" s="4" t="s">
        <v>610</v>
      </c>
      <c r="B69" s="4" t="s">
        <v>611</v>
      </c>
      <c r="C69" s="4" t="s">
        <v>17</v>
      </c>
      <c r="D69" s="4" t="s">
        <v>612</v>
      </c>
      <c r="E69" s="4" t="s">
        <v>163</v>
      </c>
      <c r="F69" s="4" t="s">
        <v>582</v>
      </c>
      <c r="G69" s="4"/>
      <c r="H69" s="11"/>
      <c r="I69" s="4" t="s">
        <v>70</v>
      </c>
      <c r="J69" s="4" t="s">
        <v>71</v>
      </c>
      <c r="K69" s="4" t="s">
        <v>541</v>
      </c>
      <c r="L69" s="4" t="s">
        <v>613</v>
      </c>
      <c r="M69" s="4" t="s">
        <v>115</v>
      </c>
      <c r="N69" s="4" t="s">
        <v>614</v>
      </c>
      <c r="O69" s="16" t="s">
        <v>106</v>
      </c>
      <c r="P69" s="15" t="s">
        <v>5</v>
      </c>
      <c r="Q69" s="4" t="s">
        <v>5</v>
      </c>
      <c r="R69" s="4" t="s">
        <v>79</v>
      </c>
      <c r="S69" s="4" t="s">
        <v>79</v>
      </c>
      <c r="T69" s="4" t="s">
        <v>79</v>
      </c>
      <c r="U69" s="4" t="s">
        <v>107</v>
      </c>
      <c r="V69" s="13" t="s">
        <v>9</v>
      </c>
      <c r="W69" s="4" t="s">
        <v>544</v>
      </c>
      <c r="X69" s="4"/>
      <c r="Y69" s="4"/>
      <c r="Z69" s="4"/>
      <c r="AA69" s="4" t="s">
        <v>569</v>
      </c>
      <c r="AB69" s="15" t="s">
        <v>97</v>
      </c>
      <c r="AC69" s="15" t="s">
        <v>136</v>
      </c>
      <c r="AD69" s="15" t="s">
        <v>97</v>
      </c>
      <c r="AE69" s="4"/>
    </row>
    <row r="70" customFormat="false" ht="46.25" hidden="false" customHeight="false" outlineLevel="0" collapsed="false">
      <c r="A70" s="4" t="s">
        <v>615</v>
      </c>
      <c r="B70" s="4" t="s">
        <v>616</v>
      </c>
      <c r="C70" s="4" t="s">
        <v>18</v>
      </c>
      <c r="D70" s="4" t="s">
        <v>617</v>
      </c>
      <c r="E70" s="4" t="s">
        <v>66</v>
      </c>
      <c r="F70" s="4" t="s">
        <v>342</v>
      </c>
      <c r="G70" s="4"/>
      <c r="H70" s="11"/>
      <c r="I70" s="4" t="s">
        <v>70</v>
      </c>
      <c r="J70" s="4" t="s">
        <v>71</v>
      </c>
      <c r="K70" s="4" t="s">
        <v>618</v>
      </c>
      <c r="L70" s="4" t="s">
        <v>619</v>
      </c>
      <c r="M70" s="4" t="s">
        <v>620</v>
      </c>
      <c r="N70" s="4" t="s">
        <v>621</v>
      </c>
      <c r="O70" s="14" t="s">
        <v>95</v>
      </c>
      <c r="P70" s="15" t="s">
        <v>5</v>
      </c>
      <c r="Q70" s="4" t="s">
        <v>77</v>
      </c>
      <c r="R70" s="4" t="s">
        <v>79</v>
      </c>
      <c r="S70" s="4" t="s">
        <v>78</v>
      </c>
      <c r="T70" s="4" t="s">
        <v>79</v>
      </c>
      <c r="U70" s="4" t="s">
        <v>107</v>
      </c>
      <c r="V70" s="13" t="s">
        <v>9</v>
      </c>
      <c r="W70" s="4" t="s">
        <v>622</v>
      </c>
      <c r="X70" s="4"/>
      <c r="Y70" s="4"/>
      <c r="Z70" s="4"/>
      <c r="AA70" s="4" t="s">
        <v>623</v>
      </c>
      <c r="AB70" s="12" t="s">
        <v>279</v>
      </c>
      <c r="AC70" s="12" t="s">
        <v>279</v>
      </c>
      <c r="AD70" s="12" t="s">
        <v>279</v>
      </c>
      <c r="AE70" s="4" t="s">
        <v>486</v>
      </c>
    </row>
    <row r="71" customFormat="false" ht="46.25" hidden="false" customHeight="false" outlineLevel="0" collapsed="false">
      <c r="A71" s="4" t="s">
        <v>624</v>
      </c>
      <c r="B71" s="4" t="s">
        <v>625</v>
      </c>
      <c r="C71" s="4" t="s">
        <v>18</v>
      </c>
      <c r="D71" s="4" t="s">
        <v>626</v>
      </c>
      <c r="E71" s="4" t="s">
        <v>66</v>
      </c>
      <c r="F71" s="4" t="s">
        <v>342</v>
      </c>
      <c r="G71" s="4"/>
      <c r="H71" s="11"/>
      <c r="I71" s="4" t="s">
        <v>90</v>
      </c>
      <c r="J71" s="4" t="s">
        <v>142</v>
      </c>
      <c r="K71" s="4" t="s">
        <v>618</v>
      </c>
      <c r="L71" s="4" t="s">
        <v>627</v>
      </c>
      <c r="M71" s="4" t="s">
        <v>115</v>
      </c>
      <c r="N71" s="4" t="s">
        <v>628</v>
      </c>
      <c r="O71" s="16" t="s">
        <v>106</v>
      </c>
      <c r="P71" s="15" t="s">
        <v>5</v>
      </c>
      <c r="Q71" s="4" t="s">
        <v>5</v>
      </c>
      <c r="R71" s="4" t="s">
        <v>79</v>
      </c>
      <c r="S71" s="4" t="s">
        <v>79</v>
      </c>
      <c r="T71" s="4" t="s">
        <v>79</v>
      </c>
      <c r="U71" s="4" t="s">
        <v>107</v>
      </c>
      <c r="V71" s="13" t="s">
        <v>9</v>
      </c>
      <c r="W71" s="4" t="s">
        <v>622</v>
      </c>
      <c r="X71" s="4"/>
      <c r="Y71" s="4"/>
      <c r="Z71" s="4"/>
      <c r="AA71" s="4" t="s">
        <v>629</v>
      </c>
      <c r="AB71" s="15" t="s">
        <v>97</v>
      </c>
      <c r="AC71" s="15" t="s">
        <v>136</v>
      </c>
      <c r="AD71" s="15" t="s">
        <v>97</v>
      </c>
      <c r="AE71" s="4"/>
    </row>
    <row r="72" customFormat="false" ht="46.25" hidden="false" customHeight="false" outlineLevel="0" collapsed="false">
      <c r="A72" s="4" t="s">
        <v>630</v>
      </c>
      <c r="B72" s="4" t="s">
        <v>631</v>
      </c>
      <c r="C72" s="4" t="s">
        <v>18</v>
      </c>
      <c r="D72" s="4" t="s">
        <v>632</v>
      </c>
      <c r="E72" s="4" t="s">
        <v>66</v>
      </c>
      <c r="F72" s="4" t="s">
        <v>342</v>
      </c>
      <c r="G72" s="4"/>
      <c r="H72" s="11"/>
      <c r="I72" s="4" t="s">
        <v>141</v>
      </c>
      <c r="J72" s="4" t="s">
        <v>71</v>
      </c>
      <c r="K72" s="4" t="s">
        <v>618</v>
      </c>
      <c r="L72" s="4" t="s">
        <v>633</v>
      </c>
      <c r="M72" s="4" t="s">
        <v>634</v>
      </c>
      <c r="N72" s="4" t="s">
        <v>635</v>
      </c>
      <c r="O72" s="16" t="s">
        <v>106</v>
      </c>
      <c r="P72" s="15" t="s">
        <v>5</v>
      </c>
      <c r="Q72" s="4" t="s">
        <v>5</v>
      </c>
      <c r="R72" s="4" t="s">
        <v>79</v>
      </c>
      <c r="S72" s="4" t="s">
        <v>79</v>
      </c>
      <c r="T72" s="4" t="s">
        <v>79</v>
      </c>
      <c r="U72" s="4" t="s">
        <v>107</v>
      </c>
      <c r="V72" s="13" t="s">
        <v>9</v>
      </c>
      <c r="W72" s="4" t="s">
        <v>622</v>
      </c>
      <c r="X72" s="4" t="s">
        <v>636</v>
      </c>
      <c r="Y72" s="4"/>
      <c r="Z72" s="4"/>
      <c r="AA72" s="4" t="s">
        <v>637</v>
      </c>
      <c r="AB72" s="15" t="s">
        <v>97</v>
      </c>
      <c r="AC72" s="15" t="s">
        <v>136</v>
      </c>
      <c r="AD72" s="15" t="s">
        <v>97</v>
      </c>
      <c r="AE72" s="4"/>
    </row>
    <row r="73" customFormat="false" ht="46.25" hidden="false" customHeight="false" outlineLevel="0" collapsed="false">
      <c r="A73" s="4" t="s">
        <v>638</v>
      </c>
      <c r="B73" s="4" t="s">
        <v>639</v>
      </c>
      <c r="C73" s="4" t="s">
        <v>18</v>
      </c>
      <c r="D73" s="4" t="s">
        <v>640</v>
      </c>
      <c r="E73" s="4" t="s">
        <v>66</v>
      </c>
      <c r="F73" s="4" t="s">
        <v>641</v>
      </c>
      <c r="G73" s="4" t="s">
        <v>642</v>
      </c>
      <c r="H73" s="11" t="s">
        <v>643</v>
      </c>
      <c r="I73" s="4" t="s">
        <v>90</v>
      </c>
      <c r="J73" s="4" t="s">
        <v>552</v>
      </c>
      <c r="K73" s="4" t="s">
        <v>618</v>
      </c>
      <c r="L73" s="4" t="s">
        <v>644</v>
      </c>
      <c r="M73" s="4" t="s">
        <v>115</v>
      </c>
      <c r="N73" s="4" t="s">
        <v>645</v>
      </c>
      <c r="O73" s="12" t="s">
        <v>76</v>
      </c>
      <c r="P73" s="12" t="s">
        <v>77</v>
      </c>
      <c r="Q73" s="4" t="s">
        <v>77</v>
      </c>
      <c r="R73" s="4" t="s">
        <v>78</v>
      </c>
      <c r="S73" s="4" t="s">
        <v>79</v>
      </c>
      <c r="T73" s="4" t="s">
        <v>79</v>
      </c>
      <c r="U73" s="4" t="s">
        <v>80</v>
      </c>
      <c r="V73" s="13" t="s">
        <v>9</v>
      </c>
      <c r="W73" s="4" t="s">
        <v>622</v>
      </c>
      <c r="X73" s="4"/>
      <c r="Y73" s="4"/>
      <c r="Z73" s="4"/>
      <c r="AA73" s="4" t="s">
        <v>646</v>
      </c>
      <c r="AB73" s="15" t="s">
        <v>97</v>
      </c>
      <c r="AC73" s="15" t="s">
        <v>136</v>
      </c>
      <c r="AD73" s="15" t="s">
        <v>97</v>
      </c>
      <c r="AE73" s="4"/>
    </row>
    <row r="74" customFormat="false" ht="35.05" hidden="false" customHeight="false" outlineLevel="0" collapsed="false">
      <c r="A74" s="4" t="s">
        <v>647</v>
      </c>
      <c r="B74" s="4" t="s">
        <v>648</v>
      </c>
      <c r="C74" s="4" t="s">
        <v>19</v>
      </c>
      <c r="D74" s="4" t="s">
        <v>649</v>
      </c>
      <c r="E74" s="4" t="s">
        <v>66</v>
      </c>
      <c r="F74" s="4" t="s">
        <v>650</v>
      </c>
      <c r="G74" s="4"/>
      <c r="H74" s="11"/>
      <c r="I74" s="4" t="s">
        <v>90</v>
      </c>
      <c r="J74" s="4" t="s">
        <v>71</v>
      </c>
      <c r="K74" s="4" t="s">
        <v>651</v>
      </c>
      <c r="L74" s="4" t="s">
        <v>652</v>
      </c>
      <c r="M74" s="4" t="s">
        <v>115</v>
      </c>
      <c r="N74" s="4" t="s">
        <v>653</v>
      </c>
      <c r="O74" s="14" t="s">
        <v>95</v>
      </c>
      <c r="P74" s="15" t="s">
        <v>5</v>
      </c>
      <c r="Q74" s="4" t="s">
        <v>77</v>
      </c>
      <c r="R74" s="4" t="s">
        <v>79</v>
      </c>
      <c r="S74" s="4" t="s">
        <v>79</v>
      </c>
      <c r="T74" s="4" t="s">
        <v>79</v>
      </c>
      <c r="U74" s="4" t="s">
        <v>107</v>
      </c>
      <c r="V74" s="13" t="s">
        <v>9</v>
      </c>
      <c r="W74" s="4" t="s">
        <v>622</v>
      </c>
      <c r="X74" s="4" t="s">
        <v>654</v>
      </c>
      <c r="Y74" s="4"/>
      <c r="Z74" s="4"/>
      <c r="AA74" s="4" t="s">
        <v>655</v>
      </c>
      <c r="AB74" s="15" t="s">
        <v>97</v>
      </c>
      <c r="AC74" s="15" t="s">
        <v>136</v>
      </c>
      <c r="AD74" s="15" t="s">
        <v>97</v>
      </c>
      <c r="AE74" s="4"/>
    </row>
    <row r="75" customFormat="false" ht="35.05" hidden="false" customHeight="false" outlineLevel="0" collapsed="false">
      <c r="A75" s="4" t="s">
        <v>656</v>
      </c>
      <c r="B75" s="4" t="s">
        <v>657</v>
      </c>
      <c r="C75" s="4" t="s">
        <v>19</v>
      </c>
      <c r="D75" s="4" t="s">
        <v>658</v>
      </c>
      <c r="E75" s="4" t="s">
        <v>66</v>
      </c>
      <c r="F75" s="4" t="s">
        <v>650</v>
      </c>
      <c r="G75" s="4"/>
      <c r="H75" s="11"/>
      <c r="I75" s="4" t="s">
        <v>70</v>
      </c>
      <c r="J75" s="4" t="s">
        <v>71</v>
      </c>
      <c r="K75" s="4" t="s">
        <v>659</v>
      </c>
      <c r="L75" s="4" t="s">
        <v>660</v>
      </c>
      <c r="M75" s="4" t="s">
        <v>115</v>
      </c>
      <c r="N75" s="4" t="s">
        <v>661</v>
      </c>
      <c r="O75" s="13" t="s">
        <v>191</v>
      </c>
      <c r="P75" s="15" t="s">
        <v>6</v>
      </c>
      <c r="Q75" s="4" t="s">
        <v>6</v>
      </c>
      <c r="R75" s="4" t="s">
        <v>79</v>
      </c>
      <c r="S75" s="4" t="s">
        <v>79</v>
      </c>
      <c r="T75" s="4" t="s">
        <v>79</v>
      </c>
      <c r="U75" s="4" t="s">
        <v>107</v>
      </c>
      <c r="V75" s="13" t="s">
        <v>9</v>
      </c>
      <c r="W75" s="4" t="s">
        <v>622</v>
      </c>
      <c r="X75" s="4" t="s">
        <v>654</v>
      </c>
      <c r="Y75" s="4"/>
      <c r="Z75" s="4"/>
      <c r="AA75" s="4" t="s">
        <v>662</v>
      </c>
      <c r="AB75" s="15" t="s">
        <v>97</v>
      </c>
      <c r="AC75" s="15" t="s">
        <v>136</v>
      </c>
      <c r="AD75" s="15" t="s">
        <v>97</v>
      </c>
      <c r="AE75" s="4" t="s">
        <v>663</v>
      </c>
    </row>
    <row r="76" customFormat="false" ht="35.05" hidden="false" customHeight="false" outlineLevel="0" collapsed="false">
      <c r="A76" s="4" t="s">
        <v>664</v>
      </c>
      <c r="B76" s="4" t="s">
        <v>665</v>
      </c>
      <c r="C76" s="4" t="s">
        <v>19</v>
      </c>
      <c r="D76" s="4" t="s">
        <v>666</v>
      </c>
      <c r="E76" s="4" t="s">
        <v>66</v>
      </c>
      <c r="F76" s="4" t="s">
        <v>667</v>
      </c>
      <c r="G76" s="4" t="s">
        <v>668</v>
      </c>
      <c r="H76" s="11" t="s">
        <v>669</v>
      </c>
      <c r="I76" s="4" t="s">
        <v>90</v>
      </c>
      <c r="J76" s="4" t="s">
        <v>71</v>
      </c>
      <c r="K76" s="4" t="s">
        <v>651</v>
      </c>
      <c r="L76" s="4" t="s">
        <v>670</v>
      </c>
      <c r="M76" s="4" t="s">
        <v>115</v>
      </c>
      <c r="N76" s="4" t="s">
        <v>671</v>
      </c>
      <c r="O76" s="12" t="s">
        <v>76</v>
      </c>
      <c r="P76" s="12" t="s">
        <v>77</v>
      </c>
      <c r="Q76" s="4" t="s">
        <v>77</v>
      </c>
      <c r="R76" s="4" t="s">
        <v>78</v>
      </c>
      <c r="S76" s="4" t="s">
        <v>79</v>
      </c>
      <c r="T76" s="4" t="s">
        <v>79</v>
      </c>
      <c r="U76" s="4" t="s">
        <v>80</v>
      </c>
      <c r="V76" s="13" t="s">
        <v>9</v>
      </c>
      <c r="W76" s="4" t="s">
        <v>622</v>
      </c>
      <c r="X76" s="4" t="s">
        <v>654</v>
      </c>
      <c r="Y76" s="4"/>
      <c r="Z76" s="4"/>
      <c r="AA76" s="4" t="s">
        <v>672</v>
      </c>
      <c r="AB76" s="15" t="s">
        <v>97</v>
      </c>
      <c r="AC76" s="15" t="s">
        <v>136</v>
      </c>
      <c r="AD76" s="15" t="s">
        <v>97</v>
      </c>
      <c r="AE76" s="4"/>
    </row>
    <row r="77" customFormat="false" ht="46.25" hidden="false" customHeight="false" outlineLevel="0" collapsed="false">
      <c r="A77" s="4" t="s">
        <v>673</v>
      </c>
      <c r="B77" s="4" t="s">
        <v>674</v>
      </c>
      <c r="C77" s="4" t="s">
        <v>20</v>
      </c>
      <c r="D77" s="4" t="s">
        <v>675</v>
      </c>
      <c r="E77" s="4" t="s">
        <v>66</v>
      </c>
      <c r="F77" s="4" t="s">
        <v>676</v>
      </c>
      <c r="G77" s="4" t="s">
        <v>240</v>
      </c>
      <c r="H77" s="11" t="s">
        <v>241</v>
      </c>
      <c r="I77" s="4" t="s">
        <v>70</v>
      </c>
      <c r="J77" s="4" t="s">
        <v>71</v>
      </c>
      <c r="K77" s="4" t="s">
        <v>113</v>
      </c>
      <c r="L77" s="4" t="s">
        <v>677</v>
      </c>
      <c r="M77" s="4" t="s">
        <v>115</v>
      </c>
      <c r="N77" s="4" t="s">
        <v>678</v>
      </c>
      <c r="O77" s="14" t="s">
        <v>95</v>
      </c>
      <c r="P77" s="12" t="s">
        <v>77</v>
      </c>
      <c r="Q77" s="4" t="s">
        <v>77</v>
      </c>
      <c r="R77" s="4" t="s">
        <v>78</v>
      </c>
      <c r="S77" s="4" t="s">
        <v>78</v>
      </c>
      <c r="T77" s="4" t="s">
        <v>79</v>
      </c>
      <c r="U77" s="4" t="s">
        <v>80</v>
      </c>
      <c r="V77" s="13" t="s">
        <v>9</v>
      </c>
      <c r="W77" s="4" t="s">
        <v>679</v>
      </c>
      <c r="X77" s="4"/>
      <c r="Y77" s="4"/>
      <c r="Z77" s="4"/>
      <c r="AA77" s="4" t="s">
        <v>680</v>
      </c>
      <c r="AB77" s="12" t="s">
        <v>279</v>
      </c>
      <c r="AC77" s="12" t="s">
        <v>279</v>
      </c>
      <c r="AD77" s="12" t="s">
        <v>279</v>
      </c>
      <c r="AE77" s="4" t="s">
        <v>681</v>
      </c>
    </row>
    <row r="78" customFormat="false" ht="46.25" hidden="false" customHeight="false" outlineLevel="0" collapsed="false">
      <c r="A78" s="4" t="s">
        <v>682</v>
      </c>
      <c r="B78" s="4" t="s">
        <v>683</v>
      </c>
      <c r="C78" s="4" t="s">
        <v>20</v>
      </c>
      <c r="D78" s="4" t="s">
        <v>684</v>
      </c>
      <c r="E78" s="4" t="s">
        <v>66</v>
      </c>
      <c r="F78" s="4" t="s">
        <v>685</v>
      </c>
      <c r="G78" s="4" t="s">
        <v>240</v>
      </c>
      <c r="H78" s="11" t="s">
        <v>241</v>
      </c>
      <c r="I78" s="4" t="s">
        <v>70</v>
      </c>
      <c r="J78" s="4" t="s">
        <v>437</v>
      </c>
      <c r="K78" s="4" t="s">
        <v>113</v>
      </c>
      <c r="L78" s="4" t="s">
        <v>686</v>
      </c>
      <c r="M78" s="4" t="s">
        <v>115</v>
      </c>
      <c r="N78" s="4" t="s">
        <v>687</v>
      </c>
      <c r="O78" s="14" t="s">
        <v>95</v>
      </c>
      <c r="P78" s="15" t="s">
        <v>5</v>
      </c>
      <c r="Q78" s="4" t="s">
        <v>77</v>
      </c>
      <c r="R78" s="4" t="s">
        <v>79</v>
      </c>
      <c r="S78" s="4" t="s">
        <v>79</v>
      </c>
      <c r="T78" s="4" t="s">
        <v>79</v>
      </c>
      <c r="U78" s="4" t="s">
        <v>80</v>
      </c>
      <c r="V78" s="13" t="s">
        <v>9</v>
      </c>
      <c r="W78" s="4" t="s">
        <v>679</v>
      </c>
      <c r="X78" s="4"/>
      <c r="Y78" s="4"/>
      <c r="Z78" s="4"/>
      <c r="AA78" s="4" t="s">
        <v>688</v>
      </c>
      <c r="AB78" s="15" t="s">
        <v>97</v>
      </c>
      <c r="AC78" s="15" t="s">
        <v>136</v>
      </c>
      <c r="AD78" s="15" t="s">
        <v>97</v>
      </c>
      <c r="AE78" s="4"/>
    </row>
    <row r="79" customFormat="false" ht="46.25" hidden="false" customHeight="false" outlineLevel="0" collapsed="false">
      <c r="A79" s="4" t="s">
        <v>689</v>
      </c>
      <c r="B79" s="4" t="s">
        <v>690</v>
      </c>
      <c r="C79" s="4" t="s">
        <v>20</v>
      </c>
      <c r="D79" s="4" t="s">
        <v>691</v>
      </c>
      <c r="E79" s="4" t="s">
        <v>66</v>
      </c>
      <c r="F79" s="4" t="s">
        <v>692</v>
      </c>
      <c r="G79" s="4"/>
      <c r="H79" s="11"/>
      <c r="I79" s="4" t="s">
        <v>693</v>
      </c>
      <c r="J79" s="4" t="s">
        <v>552</v>
      </c>
      <c r="K79" s="4" t="s">
        <v>113</v>
      </c>
      <c r="L79" s="4" t="s">
        <v>694</v>
      </c>
      <c r="M79" s="4" t="s">
        <v>115</v>
      </c>
      <c r="N79" s="4" t="s">
        <v>695</v>
      </c>
      <c r="O79" s="12" t="s">
        <v>76</v>
      </c>
      <c r="P79" s="12" t="s">
        <v>77</v>
      </c>
      <c r="Q79" s="4" t="s">
        <v>77</v>
      </c>
      <c r="R79" s="4" t="s">
        <v>78</v>
      </c>
      <c r="S79" s="4" t="s">
        <v>78</v>
      </c>
      <c r="T79" s="4" t="s">
        <v>79</v>
      </c>
      <c r="U79" s="4" t="s">
        <v>696</v>
      </c>
      <c r="V79" s="13" t="s">
        <v>9</v>
      </c>
      <c r="W79" s="4" t="s">
        <v>679</v>
      </c>
      <c r="X79" s="4"/>
      <c r="Y79" s="4"/>
      <c r="Z79" s="4"/>
      <c r="AA79" s="4" t="s">
        <v>697</v>
      </c>
      <c r="AB79" s="12" t="s">
        <v>279</v>
      </c>
      <c r="AC79" s="12" t="s">
        <v>279</v>
      </c>
      <c r="AD79" s="12" t="s">
        <v>279</v>
      </c>
      <c r="AE79" s="4" t="s">
        <v>698</v>
      </c>
    </row>
    <row r="80" customFormat="false" ht="23.85" hidden="false" customHeight="false" outlineLevel="0" collapsed="false">
      <c r="A80" s="4" t="s">
        <v>699</v>
      </c>
      <c r="B80" s="4" t="s">
        <v>700</v>
      </c>
      <c r="C80" s="4" t="s">
        <v>20</v>
      </c>
      <c r="D80" s="4" t="s">
        <v>701</v>
      </c>
      <c r="E80" s="4" t="s">
        <v>66</v>
      </c>
      <c r="F80" s="4" t="s">
        <v>702</v>
      </c>
      <c r="G80" s="4"/>
      <c r="H80" s="11"/>
      <c r="I80" s="4" t="s">
        <v>70</v>
      </c>
      <c r="J80" s="4" t="s">
        <v>71</v>
      </c>
      <c r="K80" s="4" t="s">
        <v>113</v>
      </c>
      <c r="L80" s="4" t="s">
        <v>703</v>
      </c>
      <c r="M80" s="4" t="s">
        <v>115</v>
      </c>
      <c r="N80" s="4" t="s">
        <v>704</v>
      </c>
      <c r="O80" s="16" t="s">
        <v>106</v>
      </c>
      <c r="P80" s="15" t="s">
        <v>5</v>
      </c>
      <c r="Q80" s="4" t="s">
        <v>5</v>
      </c>
      <c r="R80" s="4" t="s">
        <v>79</v>
      </c>
      <c r="S80" s="4" t="s">
        <v>79</v>
      </c>
      <c r="T80" s="4" t="s">
        <v>79</v>
      </c>
      <c r="U80" s="4" t="s">
        <v>107</v>
      </c>
      <c r="V80" s="13" t="s">
        <v>9</v>
      </c>
      <c r="W80" s="4" t="s">
        <v>679</v>
      </c>
      <c r="X80" s="4"/>
      <c r="Y80" s="4"/>
      <c r="Z80" s="4"/>
      <c r="AA80" s="4" t="s">
        <v>705</v>
      </c>
      <c r="AB80" s="15" t="s">
        <v>97</v>
      </c>
      <c r="AC80" s="15" t="s">
        <v>136</v>
      </c>
      <c r="AD80" s="15" t="s">
        <v>97</v>
      </c>
      <c r="AE80" s="4"/>
    </row>
    <row r="81" customFormat="false" ht="23.85" hidden="false" customHeight="false" outlineLevel="0" collapsed="false">
      <c r="A81" s="4" t="s">
        <v>706</v>
      </c>
      <c r="B81" s="4" t="s">
        <v>707</v>
      </c>
      <c r="C81" s="4" t="s">
        <v>20</v>
      </c>
      <c r="D81" s="4" t="s">
        <v>708</v>
      </c>
      <c r="E81" s="4" t="s">
        <v>66</v>
      </c>
      <c r="F81" s="4" t="s">
        <v>692</v>
      </c>
      <c r="G81" s="4"/>
      <c r="H81" s="11"/>
      <c r="I81" s="4" t="s">
        <v>70</v>
      </c>
      <c r="J81" s="4" t="s">
        <v>71</v>
      </c>
      <c r="K81" s="4" t="s">
        <v>113</v>
      </c>
      <c r="L81" s="4" t="s">
        <v>709</v>
      </c>
      <c r="M81" s="4" t="s">
        <v>115</v>
      </c>
      <c r="N81" s="4" t="s">
        <v>710</v>
      </c>
      <c r="O81" s="13" t="s">
        <v>191</v>
      </c>
      <c r="P81" s="15" t="s">
        <v>6</v>
      </c>
      <c r="Q81" s="4" t="s">
        <v>6</v>
      </c>
      <c r="R81" s="4" t="s">
        <v>79</v>
      </c>
      <c r="S81" s="4" t="s">
        <v>79</v>
      </c>
      <c r="T81" s="4" t="s">
        <v>79</v>
      </c>
      <c r="U81" s="4" t="s">
        <v>107</v>
      </c>
      <c r="V81" s="13" t="s">
        <v>9</v>
      </c>
      <c r="W81" s="4" t="s">
        <v>679</v>
      </c>
      <c r="X81" s="4"/>
      <c r="Y81" s="4"/>
      <c r="Z81" s="4"/>
      <c r="AA81" s="4" t="s">
        <v>711</v>
      </c>
      <c r="AB81" s="15" t="s">
        <v>97</v>
      </c>
      <c r="AC81" s="15" t="s">
        <v>136</v>
      </c>
      <c r="AD81" s="15" t="s">
        <v>97</v>
      </c>
      <c r="AE81" s="4"/>
    </row>
    <row r="82" customFormat="false" ht="35.05" hidden="false" customHeight="false" outlineLevel="0" collapsed="false">
      <c r="A82" s="4" t="s">
        <v>712</v>
      </c>
      <c r="B82" s="4" t="s">
        <v>713</v>
      </c>
      <c r="C82" s="4" t="s">
        <v>20</v>
      </c>
      <c r="D82" s="4" t="s">
        <v>714</v>
      </c>
      <c r="E82" s="4" t="s">
        <v>66</v>
      </c>
      <c r="F82" s="4" t="s">
        <v>715</v>
      </c>
      <c r="G82" s="4" t="s">
        <v>256</v>
      </c>
      <c r="H82" s="11" t="s">
        <v>257</v>
      </c>
      <c r="I82" s="4" t="s">
        <v>693</v>
      </c>
      <c r="J82" s="4" t="s">
        <v>552</v>
      </c>
      <c r="K82" s="4" t="s">
        <v>113</v>
      </c>
      <c r="L82" s="4" t="s">
        <v>716</v>
      </c>
      <c r="M82" s="4" t="s">
        <v>115</v>
      </c>
      <c r="N82" s="4" t="s">
        <v>717</v>
      </c>
      <c r="O82" s="14" t="s">
        <v>95</v>
      </c>
      <c r="P82" s="12" t="s">
        <v>77</v>
      </c>
      <c r="Q82" s="4" t="s">
        <v>77</v>
      </c>
      <c r="R82" s="4" t="s">
        <v>78</v>
      </c>
      <c r="S82" s="4" t="s">
        <v>79</v>
      </c>
      <c r="T82" s="4" t="s">
        <v>79</v>
      </c>
      <c r="U82" s="4" t="s">
        <v>80</v>
      </c>
      <c r="V82" s="13" t="s">
        <v>9</v>
      </c>
      <c r="W82" s="4" t="s">
        <v>679</v>
      </c>
      <c r="X82" s="4"/>
      <c r="Y82" s="4"/>
      <c r="Z82" s="4"/>
      <c r="AA82" s="4" t="s">
        <v>718</v>
      </c>
      <c r="AB82" s="15" t="s">
        <v>97</v>
      </c>
      <c r="AC82" s="15" t="s">
        <v>136</v>
      </c>
      <c r="AD82" s="15" t="s">
        <v>97</v>
      </c>
      <c r="AE82" s="4"/>
    </row>
    <row r="83" customFormat="false" ht="23.85" hidden="false" customHeight="false" outlineLevel="0" collapsed="false">
      <c r="A83" s="4" t="s">
        <v>719</v>
      </c>
      <c r="B83" s="4" t="s">
        <v>720</v>
      </c>
      <c r="C83" s="4" t="s">
        <v>20</v>
      </c>
      <c r="D83" s="4" t="s">
        <v>721</v>
      </c>
      <c r="E83" s="4" t="s">
        <v>66</v>
      </c>
      <c r="F83" s="4" t="s">
        <v>715</v>
      </c>
      <c r="G83" s="4" t="s">
        <v>256</v>
      </c>
      <c r="H83" s="11" t="s">
        <v>257</v>
      </c>
      <c r="I83" s="4" t="s">
        <v>258</v>
      </c>
      <c r="J83" s="4" t="s">
        <v>552</v>
      </c>
      <c r="K83" s="4" t="s">
        <v>113</v>
      </c>
      <c r="L83" s="4" t="s">
        <v>722</v>
      </c>
      <c r="M83" s="4" t="s">
        <v>115</v>
      </c>
      <c r="N83" s="4" t="s">
        <v>723</v>
      </c>
      <c r="O83" s="14" t="s">
        <v>95</v>
      </c>
      <c r="P83" s="15" t="s">
        <v>5</v>
      </c>
      <c r="Q83" s="4" t="s">
        <v>77</v>
      </c>
      <c r="R83" s="4" t="s">
        <v>79</v>
      </c>
      <c r="S83" s="4" t="s">
        <v>79</v>
      </c>
      <c r="T83" s="4" t="s">
        <v>79</v>
      </c>
      <c r="U83" s="4" t="s">
        <v>261</v>
      </c>
      <c r="V83" s="13" t="s">
        <v>9</v>
      </c>
      <c r="W83" s="4" t="s">
        <v>262</v>
      </c>
      <c r="X83" s="4" t="s">
        <v>724</v>
      </c>
      <c r="Y83" s="4"/>
      <c r="Z83" s="4"/>
      <c r="AA83" s="4" t="s">
        <v>725</v>
      </c>
      <c r="AB83" s="15" t="s">
        <v>97</v>
      </c>
      <c r="AC83" s="15" t="s">
        <v>136</v>
      </c>
      <c r="AD83" s="15" t="s">
        <v>97</v>
      </c>
      <c r="AE83" s="4"/>
    </row>
    <row r="84" customFormat="false" ht="35.05" hidden="false" customHeight="false" outlineLevel="0" collapsed="false">
      <c r="A84" s="4" t="s">
        <v>726</v>
      </c>
      <c r="B84" s="4" t="s">
        <v>727</v>
      </c>
      <c r="C84" s="4" t="s">
        <v>20</v>
      </c>
      <c r="D84" s="4" t="s">
        <v>728</v>
      </c>
      <c r="E84" s="4" t="s">
        <v>173</v>
      </c>
      <c r="F84" s="4" t="s">
        <v>729</v>
      </c>
      <c r="G84" s="4"/>
      <c r="H84" s="11"/>
      <c r="I84" s="4" t="s">
        <v>436</v>
      </c>
      <c r="J84" s="4" t="s">
        <v>71</v>
      </c>
      <c r="K84" s="4" t="s">
        <v>113</v>
      </c>
      <c r="L84" s="4" t="s">
        <v>730</v>
      </c>
      <c r="M84" s="4" t="s">
        <v>115</v>
      </c>
      <c r="N84" s="4" t="s">
        <v>731</v>
      </c>
      <c r="O84" s="14" t="s">
        <v>95</v>
      </c>
      <c r="P84" s="15" t="s">
        <v>5</v>
      </c>
      <c r="Q84" s="4" t="s">
        <v>77</v>
      </c>
      <c r="R84" s="4" t="s">
        <v>79</v>
      </c>
      <c r="S84" s="4" t="s">
        <v>78</v>
      </c>
      <c r="T84" s="4" t="s">
        <v>79</v>
      </c>
      <c r="U84" s="4" t="s">
        <v>732</v>
      </c>
      <c r="V84" s="13" t="s">
        <v>9</v>
      </c>
      <c r="W84" s="4" t="s">
        <v>679</v>
      </c>
      <c r="X84" s="4"/>
      <c r="Y84" s="4"/>
      <c r="Z84" s="4"/>
      <c r="AA84" s="4" t="s">
        <v>733</v>
      </c>
      <c r="AB84" s="12" t="s">
        <v>279</v>
      </c>
      <c r="AC84" s="12" t="s">
        <v>279</v>
      </c>
      <c r="AD84" s="12" t="s">
        <v>279</v>
      </c>
      <c r="AE84" s="4" t="s">
        <v>734</v>
      </c>
    </row>
    <row r="85" customFormat="false" ht="23.85" hidden="false" customHeight="false" outlineLevel="0" collapsed="false">
      <c r="A85" s="4" t="s">
        <v>735</v>
      </c>
      <c r="B85" s="4" t="s">
        <v>736</v>
      </c>
      <c r="C85" s="4" t="s">
        <v>21</v>
      </c>
      <c r="D85" s="4" t="s">
        <v>737</v>
      </c>
      <c r="E85" s="4" t="s">
        <v>66</v>
      </c>
      <c r="F85" s="4" t="s">
        <v>738</v>
      </c>
      <c r="G85" s="4"/>
      <c r="H85" s="11"/>
      <c r="I85" s="4" t="s">
        <v>739</v>
      </c>
      <c r="J85" s="4" t="s">
        <v>739</v>
      </c>
      <c r="K85" s="4" t="s">
        <v>740</v>
      </c>
      <c r="L85" s="4" t="s">
        <v>741</v>
      </c>
      <c r="M85" s="4" t="s">
        <v>115</v>
      </c>
      <c r="N85" s="4" t="s">
        <v>742</v>
      </c>
      <c r="O85" s="14" t="s">
        <v>95</v>
      </c>
      <c r="P85" s="15" t="s">
        <v>5</v>
      </c>
      <c r="Q85" s="4" t="s">
        <v>77</v>
      </c>
      <c r="R85" s="4" t="s">
        <v>79</v>
      </c>
      <c r="S85" s="4" t="s">
        <v>78</v>
      </c>
      <c r="T85" s="4" t="s">
        <v>79</v>
      </c>
      <c r="U85" s="4" t="s">
        <v>743</v>
      </c>
      <c r="V85" s="13" t="s">
        <v>9</v>
      </c>
      <c r="W85" s="4" t="s">
        <v>744</v>
      </c>
      <c r="X85" s="4"/>
      <c r="Y85" s="4"/>
      <c r="Z85" s="4"/>
      <c r="AA85" s="4" t="s">
        <v>745</v>
      </c>
      <c r="AB85" s="12" t="s">
        <v>279</v>
      </c>
      <c r="AC85" s="12" t="s">
        <v>279</v>
      </c>
      <c r="AD85" s="12" t="s">
        <v>279</v>
      </c>
      <c r="AE85" s="4" t="s">
        <v>746</v>
      </c>
    </row>
    <row r="86" customFormat="false" ht="23.85" hidden="false" customHeight="false" outlineLevel="0" collapsed="false">
      <c r="A86" s="4" t="s">
        <v>747</v>
      </c>
      <c r="B86" s="4" t="s">
        <v>748</v>
      </c>
      <c r="C86" s="4" t="s">
        <v>21</v>
      </c>
      <c r="D86" s="4" t="s">
        <v>749</v>
      </c>
      <c r="E86" s="4" t="s">
        <v>66</v>
      </c>
      <c r="F86" s="4" t="s">
        <v>122</v>
      </c>
      <c r="G86" s="4"/>
      <c r="H86" s="11"/>
      <c r="I86" s="4" t="s">
        <v>750</v>
      </c>
      <c r="J86" s="4" t="s">
        <v>739</v>
      </c>
      <c r="K86" s="4" t="s">
        <v>751</v>
      </c>
      <c r="L86" s="4" t="s">
        <v>752</v>
      </c>
      <c r="M86" s="4" t="s">
        <v>104</v>
      </c>
      <c r="N86" s="4" t="s">
        <v>753</v>
      </c>
      <c r="O86" s="12" t="s">
        <v>76</v>
      </c>
      <c r="P86" s="12" t="s">
        <v>77</v>
      </c>
      <c r="Q86" s="4" t="s">
        <v>77</v>
      </c>
      <c r="R86" s="4" t="s">
        <v>78</v>
      </c>
      <c r="S86" s="4" t="s">
        <v>78</v>
      </c>
      <c r="T86" s="4" t="s">
        <v>79</v>
      </c>
      <c r="U86" s="4" t="s">
        <v>743</v>
      </c>
      <c r="V86" s="13" t="s">
        <v>9</v>
      </c>
      <c r="W86" s="4" t="s">
        <v>744</v>
      </c>
      <c r="X86" s="4"/>
      <c r="Y86" s="4"/>
      <c r="Z86" s="4"/>
      <c r="AA86" s="4" t="s">
        <v>754</v>
      </c>
      <c r="AB86" s="12" t="s">
        <v>279</v>
      </c>
      <c r="AC86" s="12" t="s">
        <v>279</v>
      </c>
      <c r="AD86" s="12" t="s">
        <v>279</v>
      </c>
      <c r="AE86" s="4" t="s">
        <v>746</v>
      </c>
    </row>
    <row r="87" customFormat="false" ht="35.05" hidden="false" customHeight="false" outlineLevel="0" collapsed="false">
      <c r="A87" s="4" t="s">
        <v>755</v>
      </c>
      <c r="B87" s="4" t="s">
        <v>756</v>
      </c>
      <c r="C87" s="4" t="s">
        <v>21</v>
      </c>
      <c r="D87" s="4" t="s">
        <v>757</v>
      </c>
      <c r="E87" s="4" t="s">
        <v>66</v>
      </c>
      <c r="F87" s="4" t="s">
        <v>305</v>
      </c>
      <c r="G87" s="4" t="s">
        <v>758</v>
      </c>
      <c r="H87" s="11" t="s">
        <v>759</v>
      </c>
      <c r="I87" s="4" t="s">
        <v>760</v>
      </c>
      <c r="J87" s="4" t="s">
        <v>739</v>
      </c>
      <c r="K87" s="4" t="s">
        <v>761</v>
      </c>
      <c r="L87" s="4" t="s">
        <v>762</v>
      </c>
      <c r="M87" s="4" t="s">
        <v>115</v>
      </c>
      <c r="N87" s="4" t="s">
        <v>763</v>
      </c>
      <c r="O87" s="14" t="s">
        <v>95</v>
      </c>
      <c r="P87" s="15" t="s">
        <v>5</v>
      </c>
      <c r="Q87" s="4" t="s">
        <v>77</v>
      </c>
      <c r="R87" s="4" t="s">
        <v>79</v>
      </c>
      <c r="S87" s="4" t="s">
        <v>79</v>
      </c>
      <c r="T87" s="4" t="s">
        <v>79</v>
      </c>
      <c r="U87" s="4" t="s">
        <v>743</v>
      </c>
      <c r="V87" s="13" t="s">
        <v>9</v>
      </c>
      <c r="W87" s="4" t="s">
        <v>744</v>
      </c>
      <c r="X87" s="4" t="s">
        <v>764</v>
      </c>
      <c r="Y87" s="4" t="s">
        <v>765</v>
      </c>
      <c r="Z87" s="4"/>
      <c r="AA87" s="4" t="s">
        <v>766</v>
      </c>
      <c r="AB87" s="15" t="s">
        <v>97</v>
      </c>
      <c r="AC87" s="15" t="s">
        <v>136</v>
      </c>
      <c r="AD87" s="15" t="s">
        <v>97</v>
      </c>
      <c r="AE87" s="4" t="s">
        <v>746</v>
      </c>
    </row>
    <row r="88" customFormat="false" ht="46.25" hidden="false" customHeight="false" outlineLevel="0" collapsed="false">
      <c r="A88" s="4" t="s">
        <v>767</v>
      </c>
      <c r="B88" s="4" t="s">
        <v>768</v>
      </c>
      <c r="C88" s="4" t="s">
        <v>21</v>
      </c>
      <c r="D88" s="4" t="s">
        <v>769</v>
      </c>
      <c r="E88" s="4" t="s">
        <v>66</v>
      </c>
      <c r="F88" s="4" t="s">
        <v>540</v>
      </c>
      <c r="G88" s="4" t="s">
        <v>770</v>
      </c>
      <c r="H88" s="11" t="s">
        <v>771</v>
      </c>
      <c r="I88" s="4" t="s">
        <v>760</v>
      </c>
      <c r="J88" s="4" t="s">
        <v>739</v>
      </c>
      <c r="K88" s="4" t="s">
        <v>772</v>
      </c>
      <c r="L88" s="4" t="s">
        <v>773</v>
      </c>
      <c r="M88" s="4" t="s">
        <v>115</v>
      </c>
      <c r="N88" s="4" t="s">
        <v>774</v>
      </c>
      <c r="O88" s="14" t="s">
        <v>95</v>
      </c>
      <c r="P88" s="15" t="s">
        <v>5</v>
      </c>
      <c r="Q88" s="4" t="s">
        <v>77</v>
      </c>
      <c r="R88" s="4" t="s">
        <v>79</v>
      </c>
      <c r="S88" s="4" t="s">
        <v>79</v>
      </c>
      <c r="T88" s="4" t="s">
        <v>79</v>
      </c>
      <c r="U88" s="4" t="s">
        <v>743</v>
      </c>
      <c r="V88" s="13" t="s">
        <v>9</v>
      </c>
      <c r="W88" s="4" t="s">
        <v>744</v>
      </c>
      <c r="X88" s="4" t="s">
        <v>764</v>
      </c>
      <c r="Y88" s="4" t="s">
        <v>765</v>
      </c>
      <c r="Z88" s="4"/>
      <c r="AA88" s="4" t="s">
        <v>766</v>
      </c>
      <c r="AB88" s="15" t="s">
        <v>97</v>
      </c>
      <c r="AC88" s="15" t="s">
        <v>136</v>
      </c>
      <c r="AD88" s="15" t="s">
        <v>97</v>
      </c>
      <c r="AE88" s="4" t="s">
        <v>746</v>
      </c>
    </row>
    <row r="89" customFormat="false" ht="23.85" hidden="false" customHeight="false" outlineLevel="0" collapsed="false">
      <c r="A89" s="4" t="s">
        <v>775</v>
      </c>
      <c r="B89" s="4" t="s">
        <v>776</v>
      </c>
      <c r="C89" s="4" t="s">
        <v>21</v>
      </c>
      <c r="D89" s="4" t="s">
        <v>777</v>
      </c>
      <c r="E89" s="4" t="s">
        <v>66</v>
      </c>
      <c r="F89" s="4" t="s">
        <v>778</v>
      </c>
      <c r="G89" s="4" t="s">
        <v>642</v>
      </c>
      <c r="H89" s="11" t="s">
        <v>643</v>
      </c>
      <c r="I89" s="4" t="s">
        <v>760</v>
      </c>
      <c r="J89" s="4" t="s">
        <v>779</v>
      </c>
      <c r="K89" s="4" t="s">
        <v>780</v>
      </c>
      <c r="L89" s="4" t="s">
        <v>781</v>
      </c>
      <c r="M89" s="4" t="s">
        <v>115</v>
      </c>
      <c r="N89" s="4" t="s">
        <v>782</v>
      </c>
      <c r="O89" s="12" t="s">
        <v>76</v>
      </c>
      <c r="P89" s="12" t="s">
        <v>77</v>
      </c>
      <c r="Q89" s="4" t="s">
        <v>77</v>
      </c>
      <c r="R89" s="4" t="s">
        <v>78</v>
      </c>
      <c r="S89" s="4" t="s">
        <v>79</v>
      </c>
      <c r="T89" s="4" t="s">
        <v>79</v>
      </c>
      <c r="U89" s="4" t="s">
        <v>743</v>
      </c>
      <c r="V89" s="13" t="s">
        <v>9</v>
      </c>
      <c r="W89" s="4" t="s">
        <v>744</v>
      </c>
      <c r="X89" s="4" t="s">
        <v>764</v>
      </c>
      <c r="Y89" s="4" t="s">
        <v>765</v>
      </c>
      <c r="Z89" s="4"/>
      <c r="AA89" s="4" t="s">
        <v>783</v>
      </c>
      <c r="AB89" s="15" t="s">
        <v>97</v>
      </c>
      <c r="AC89" s="15" t="s">
        <v>136</v>
      </c>
      <c r="AD89" s="15" t="s">
        <v>97</v>
      </c>
      <c r="AE89" s="4" t="s">
        <v>746</v>
      </c>
    </row>
    <row r="90" customFormat="false" ht="35.05" hidden="false" customHeight="false" outlineLevel="0" collapsed="false">
      <c r="A90" s="4" t="s">
        <v>784</v>
      </c>
      <c r="B90" s="4" t="s">
        <v>785</v>
      </c>
      <c r="C90" s="4" t="s">
        <v>21</v>
      </c>
      <c r="D90" s="4" t="s">
        <v>786</v>
      </c>
      <c r="E90" s="4" t="s">
        <v>66</v>
      </c>
      <c r="F90" s="4" t="s">
        <v>211</v>
      </c>
      <c r="G90" s="4" t="s">
        <v>256</v>
      </c>
      <c r="H90" s="11" t="s">
        <v>257</v>
      </c>
      <c r="I90" s="4" t="s">
        <v>258</v>
      </c>
      <c r="J90" s="4" t="s">
        <v>739</v>
      </c>
      <c r="K90" s="4" t="s">
        <v>113</v>
      </c>
      <c r="L90" s="4" t="s">
        <v>787</v>
      </c>
      <c r="M90" s="4" t="s">
        <v>115</v>
      </c>
      <c r="N90" s="4" t="s">
        <v>788</v>
      </c>
      <c r="O90" s="14" t="s">
        <v>95</v>
      </c>
      <c r="P90" s="15" t="s">
        <v>5</v>
      </c>
      <c r="Q90" s="4" t="s">
        <v>77</v>
      </c>
      <c r="R90" s="4" t="s">
        <v>79</v>
      </c>
      <c r="S90" s="4" t="s">
        <v>79</v>
      </c>
      <c r="T90" s="4" t="s">
        <v>79</v>
      </c>
      <c r="U90" s="4" t="s">
        <v>743</v>
      </c>
      <c r="V90" s="13" t="s">
        <v>9</v>
      </c>
      <c r="W90" s="4" t="s">
        <v>744</v>
      </c>
      <c r="X90" s="4"/>
      <c r="Y90" s="4"/>
      <c r="Z90" s="4"/>
      <c r="AA90" s="4" t="s">
        <v>766</v>
      </c>
      <c r="AB90" s="15" t="s">
        <v>97</v>
      </c>
      <c r="AC90" s="15" t="s">
        <v>136</v>
      </c>
      <c r="AD90" s="15" t="s">
        <v>97</v>
      </c>
      <c r="AE90" s="4" t="s">
        <v>746</v>
      </c>
    </row>
    <row r="91" customFormat="false" ht="46.25" hidden="false" customHeight="false" outlineLevel="0" collapsed="false">
      <c r="A91" s="4" t="s">
        <v>789</v>
      </c>
      <c r="B91" s="4" t="s">
        <v>790</v>
      </c>
      <c r="C91" s="4" t="s">
        <v>21</v>
      </c>
      <c r="D91" s="4" t="s">
        <v>791</v>
      </c>
      <c r="E91" s="4" t="s">
        <v>66</v>
      </c>
      <c r="F91" s="4" t="s">
        <v>738</v>
      </c>
      <c r="G91" s="4" t="s">
        <v>792</v>
      </c>
      <c r="H91" s="11" t="s">
        <v>793</v>
      </c>
      <c r="I91" s="4" t="s">
        <v>258</v>
      </c>
      <c r="J91" s="4" t="s">
        <v>142</v>
      </c>
      <c r="K91" s="4" t="s">
        <v>392</v>
      </c>
      <c r="L91" s="4" t="s">
        <v>794</v>
      </c>
      <c r="M91" s="4" t="s">
        <v>115</v>
      </c>
      <c r="N91" s="4" t="s">
        <v>795</v>
      </c>
      <c r="O91" s="16" t="s">
        <v>106</v>
      </c>
      <c r="P91" s="15" t="s">
        <v>5</v>
      </c>
      <c r="Q91" s="4" t="s">
        <v>5</v>
      </c>
      <c r="R91" s="4" t="s">
        <v>79</v>
      </c>
      <c r="S91" s="4" t="s">
        <v>79</v>
      </c>
      <c r="T91" s="4" t="s">
        <v>79</v>
      </c>
      <c r="U91" s="4" t="s">
        <v>261</v>
      </c>
      <c r="V91" s="13" t="s">
        <v>9</v>
      </c>
      <c r="W91" s="4" t="s">
        <v>262</v>
      </c>
      <c r="X91" s="4" t="s">
        <v>796</v>
      </c>
      <c r="Y91" s="4"/>
      <c r="Z91" s="4"/>
      <c r="AA91" s="4" t="s">
        <v>766</v>
      </c>
      <c r="AB91" s="15" t="s">
        <v>97</v>
      </c>
      <c r="AC91" s="15" t="s">
        <v>136</v>
      </c>
      <c r="AD91" s="15" t="s">
        <v>97</v>
      </c>
      <c r="AE91" s="4"/>
    </row>
    <row r="92" customFormat="false" ht="35.05" hidden="false" customHeight="false" outlineLevel="0" collapsed="false">
      <c r="A92" s="4" t="s">
        <v>797</v>
      </c>
      <c r="B92" s="4" t="s">
        <v>798</v>
      </c>
      <c r="C92" s="4" t="s">
        <v>21</v>
      </c>
      <c r="D92" s="4" t="s">
        <v>799</v>
      </c>
      <c r="E92" s="4" t="s">
        <v>66</v>
      </c>
      <c r="F92" s="4" t="s">
        <v>219</v>
      </c>
      <c r="G92" s="4"/>
      <c r="H92" s="11"/>
      <c r="I92" s="4" t="s">
        <v>750</v>
      </c>
      <c r="J92" s="4" t="s">
        <v>739</v>
      </c>
      <c r="K92" s="4" t="s">
        <v>800</v>
      </c>
      <c r="L92" s="4" t="s">
        <v>801</v>
      </c>
      <c r="M92" s="4" t="s">
        <v>222</v>
      </c>
      <c r="N92" s="4" t="s">
        <v>802</v>
      </c>
      <c r="O92" s="12" t="s">
        <v>76</v>
      </c>
      <c r="P92" s="15" t="s">
        <v>5</v>
      </c>
      <c r="Q92" s="4" t="s">
        <v>77</v>
      </c>
      <c r="R92" s="4" t="s">
        <v>79</v>
      </c>
      <c r="S92" s="4" t="s">
        <v>79</v>
      </c>
      <c r="T92" s="4" t="s">
        <v>79</v>
      </c>
      <c r="U92" s="4" t="s">
        <v>743</v>
      </c>
      <c r="V92" s="13" t="s">
        <v>9</v>
      </c>
      <c r="W92" s="4" t="s">
        <v>744</v>
      </c>
      <c r="X92" s="4" t="s">
        <v>224</v>
      </c>
      <c r="Y92" s="4"/>
      <c r="Z92" s="4"/>
      <c r="AA92" s="4" t="s">
        <v>803</v>
      </c>
      <c r="AB92" s="15" t="s">
        <v>97</v>
      </c>
      <c r="AC92" s="15" t="s">
        <v>136</v>
      </c>
      <c r="AD92" s="15" t="s">
        <v>97</v>
      </c>
      <c r="AE92" s="4" t="s">
        <v>804</v>
      </c>
    </row>
    <row r="93" customFormat="false" ht="23.85" hidden="false" customHeight="false" outlineLevel="0" collapsed="false">
      <c r="A93" s="4" t="s">
        <v>805</v>
      </c>
      <c r="B93" s="4" t="s">
        <v>806</v>
      </c>
      <c r="C93" s="4" t="s">
        <v>21</v>
      </c>
      <c r="D93" s="4" t="s">
        <v>807</v>
      </c>
      <c r="E93" s="4" t="s">
        <v>163</v>
      </c>
      <c r="F93" s="4" t="s">
        <v>738</v>
      </c>
      <c r="G93" s="4"/>
      <c r="H93" s="11"/>
      <c r="I93" s="4" t="s">
        <v>739</v>
      </c>
      <c r="J93" s="4" t="s">
        <v>739</v>
      </c>
      <c r="K93" s="4" t="s">
        <v>113</v>
      </c>
      <c r="L93" s="4" t="s">
        <v>808</v>
      </c>
      <c r="M93" s="4" t="s">
        <v>115</v>
      </c>
      <c r="N93" s="4" t="s">
        <v>809</v>
      </c>
      <c r="O93" s="16" t="s">
        <v>106</v>
      </c>
      <c r="P93" s="15" t="s">
        <v>5</v>
      </c>
      <c r="Q93" s="4" t="s">
        <v>5</v>
      </c>
      <c r="R93" s="4" t="s">
        <v>79</v>
      </c>
      <c r="S93" s="4" t="s">
        <v>79</v>
      </c>
      <c r="T93" s="4" t="s">
        <v>79</v>
      </c>
      <c r="U93" s="4" t="s">
        <v>743</v>
      </c>
      <c r="V93" s="13" t="s">
        <v>9</v>
      </c>
      <c r="W93" s="4" t="s">
        <v>744</v>
      </c>
      <c r="X93" s="4"/>
      <c r="Y93" s="4"/>
      <c r="Z93" s="4"/>
      <c r="AA93" s="4" t="s">
        <v>803</v>
      </c>
      <c r="AB93" s="15" t="s">
        <v>97</v>
      </c>
      <c r="AC93" s="15" t="s">
        <v>136</v>
      </c>
      <c r="AD93" s="15" t="s">
        <v>97</v>
      </c>
      <c r="AE93" s="4"/>
    </row>
    <row r="94" customFormat="false" ht="35.05" hidden="false" customHeight="false" outlineLevel="0" collapsed="false">
      <c r="A94" s="4" t="s">
        <v>810</v>
      </c>
      <c r="B94" s="4" t="s">
        <v>811</v>
      </c>
      <c r="C94" s="4" t="s">
        <v>21</v>
      </c>
      <c r="D94" s="4" t="s">
        <v>812</v>
      </c>
      <c r="E94" s="4" t="s">
        <v>163</v>
      </c>
      <c r="F94" s="4" t="s">
        <v>342</v>
      </c>
      <c r="G94" s="4"/>
      <c r="H94" s="11"/>
      <c r="I94" s="4" t="s">
        <v>760</v>
      </c>
      <c r="J94" s="4" t="s">
        <v>739</v>
      </c>
      <c r="K94" s="4" t="s">
        <v>772</v>
      </c>
      <c r="L94" s="4" t="s">
        <v>813</v>
      </c>
      <c r="M94" s="4" t="s">
        <v>115</v>
      </c>
      <c r="N94" s="4" t="s">
        <v>814</v>
      </c>
      <c r="O94" s="16" t="s">
        <v>106</v>
      </c>
      <c r="P94" s="15" t="s">
        <v>5</v>
      </c>
      <c r="Q94" s="4" t="s">
        <v>5</v>
      </c>
      <c r="R94" s="4" t="s">
        <v>79</v>
      </c>
      <c r="S94" s="4" t="s">
        <v>79</v>
      </c>
      <c r="T94" s="4" t="s">
        <v>79</v>
      </c>
      <c r="U94" s="4" t="s">
        <v>743</v>
      </c>
      <c r="V94" s="13" t="s">
        <v>9</v>
      </c>
      <c r="W94" s="4" t="s">
        <v>744</v>
      </c>
      <c r="X94" s="4" t="s">
        <v>815</v>
      </c>
      <c r="Y94" s="4"/>
      <c r="Z94" s="4"/>
      <c r="AA94" s="4" t="s">
        <v>803</v>
      </c>
      <c r="AB94" s="15" t="s">
        <v>97</v>
      </c>
      <c r="AC94" s="15" t="s">
        <v>136</v>
      </c>
      <c r="AD94" s="15" t="s">
        <v>97</v>
      </c>
      <c r="AE94" s="4" t="s">
        <v>746</v>
      </c>
    </row>
    <row r="95" customFormat="false" ht="23.85" hidden="false" customHeight="false" outlineLevel="0" collapsed="false">
      <c r="A95" s="4" t="s">
        <v>816</v>
      </c>
      <c r="B95" s="4" t="s">
        <v>817</v>
      </c>
      <c r="C95" s="4" t="s">
        <v>21</v>
      </c>
      <c r="D95" s="4" t="s">
        <v>818</v>
      </c>
      <c r="E95" s="4" t="s">
        <v>163</v>
      </c>
      <c r="F95" s="4" t="s">
        <v>692</v>
      </c>
      <c r="G95" s="4"/>
      <c r="H95" s="11"/>
      <c r="I95" s="4" t="s">
        <v>739</v>
      </c>
      <c r="J95" s="4" t="s">
        <v>739</v>
      </c>
      <c r="K95" s="4" t="s">
        <v>113</v>
      </c>
      <c r="L95" s="4" t="s">
        <v>819</v>
      </c>
      <c r="M95" s="4" t="s">
        <v>115</v>
      </c>
      <c r="N95" s="4" t="s">
        <v>820</v>
      </c>
      <c r="O95" s="16" t="s">
        <v>106</v>
      </c>
      <c r="P95" s="15" t="s">
        <v>5</v>
      </c>
      <c r="Q95" s="4" t="s">
        <v>5</v>
      </c>
      <c r="R95" s="4" t="s">
        <v>79</v>
      </c>
      <c r="S95" s="4" t="s">
        <v>79</v>
      </c>
      <c r="T95" s="4" t="s">
        <v>79</v>
      </c>
      <c r="U95" s="4" t="s">
        <v>743</v>
      </c>
      <c r="V95" s="13" t="s">
        <v>9</v>
      </c>
      <c r="W95" s="4" t="s">
        <v>744</v>
      </c>
      <c r="X95" s="4"/>
      <c r="Y95" s="4"/>
      <c r="Z95" s="4"/>
      <c r="AA95" s="4" t="s">
        <v>803</v>
      </c>
      <c r="AB95" s="15" t="s">
        <v>97</v>
      </c>
      <c r="AC95" s="15" t="s">
        <v>136</v>
      </c>
      <c r="AD95" s="15" t="s">
        <v>97</v>
      </c>
      <c r="AE95" s="4" t="s">
        <v>746</v>
      </c>
    </row>
    <row r="96" customFormat="false" ht="35.05" hidden="false" customHeight="false" outlineLevel="0" collapsed="false">
      <c r="A96" s="4" t="s">
        <v>821</v>
      </c>
      <c r="B96" s="4" t="s">
        <v>822</v>
      </c>
      <c r="C96" s="4" t="s">
        <v>21</v>
      </c>
      <c r="D96" s="4" t="s">
        <v>823</v>
      </c>
      <c r="E96" s="4" t="s">
        <v>163</v>
      </c>
      <c r="F96" s="4" t="s">
        <v>738</v>
      </c>
      <c r="G96" s="4" t="s">
        <v>824</v>
      </c>
      <c r="H96" s="11" t="s">
        <v>825</v>
      </c>
      <c r="I96" s="4" t="s">
        <v>258</v>
      </c>
      <c r="J96" s="4" t="s">
        <v>142</v>
      </c>
      <c r="K96" s="4" t="s">
        <v>274</v>
      </c>
      <c r="L96" s="4" t="s">
        <v>826</v>
      </c>
      <c r="M96" s="4" t="s">
        <v>115</v>
      </c>
      <c r="N96" s="4" t="s">
        <v>827</v>
      </c>
      <c r="O96" s="14" t="s">
        <v>95</v>
      </c>
      <c r="P96" s="15" t="s">
        <v>5</v>
      </c>
      <c r="Q96" s="4" t="s">
        <v>77</v>
      </c>
      <c r="R96" s="4" t="s">
        <v>79</v>
      </c>
      <c r="S96" s="4" t="s">
        <v>79</v>
      </c>
      <c r="T96" s="4" t="s">
        <v>79</v>
      </c>
      <c r="U96" s="4" t="s">
        <v>261</v>
      </c>
      <c r="V96" s="13" t="s">
        <v>9</v>
      </c>
      <c r="W96" s="4" t="s">
        <v>262</v>
      </c>
      <c r="X96" s="4" t="s">
        <v>828</v>
      </c>
      <c r="Y96" s="4"/>
      <c r="Z96" s="4"/>
      <c r="AA96" s="4" t="s">
        <v>766</v>
      </c>
      <c r="AB96" s="15" t="s">
        <v>97</v>
      </c>
      <c r="AC96" s="15" t="s">
        <v>136</v>
      </c>
      <c r="AD96" s="15" t="s">
        <v>97</v>
      </c>
      <c r="AE96" s="4"/>
    </row>
    <row r="97" customFormat="false" ht="46.25" hidden="false" customHeight="false" outlineLevel="0" collapsed="false">
      <c r="A97" s="4" t="s">
        <v>829</v>
      </c>
      <c r="B97" s="4" t="s">
        <v>830</v>
      </c>
      <c r="C97" s="4" t="s">
        <v>22</v>
      </c>
      <c r="D97" s="4" t="s">
        <v>831</v>
      </c>
      <c r="E97" s="4" t="s">
        <v>832</v>
      </c>
      <c r="F97" s="4" t="s">
        <v>833</v>
      </c>
      <c r="G97" s="4"/>
      <c r="H97" s="11"/>
      <c r="I97" s="4" t="s">
        <v>834</v>
      </c>
      <c r="J97" s="4" t="s">
        <v>832</v>
      </c>
      <c r="K97" s="4" t="s">
        <v>835</v>
      </c>
      <c r="L97" s="4" t="s">
        <v>836</v>
      </c>
      <c r="M97" s="4" t="s">
        <v>837</v>
      </c>
      <c r="N97" s="4" t="s">
        <v>838</v>
      </c>
      <c r="O97" s="14" t="s">
        <v>95</v>
      </c>
      <c r="P97" s="15" t="s">
        <v>5</v>
      </c>
      <c r="Q97" s="4" t="s">
        <v>5</v>
      </c>
      <c r="R97" s="4" t="s">
        <v>79</v>
      </c>
      <c r="S97" s="4" t="s">
        <v>79</v>
      </c>
      <c r="T97" s="4" t="s">
        <v>79</v>
      </c>
      <c r="U97" s="4" t="s">
        <v>839</v>
      </c>
      <c r="V97" s="12" t="s">
        <v>10</v>
      </c>
      <c r="W97" s="4"/>
      <c r="X97" s="4"/>
      <c r="Y97" s="4" t="s">
        <v>840</v>
      </c>
      <c r="Z97" s="4" t="s">
        <v>841</v>
      </c>
      <c r="AA97" s="4" t="s">
        <v>842</v>
      </c>
      <c r="AB97" s="15" t="s">
        <v>843</v>
      </c>
      <c r="AC97" s="15" t="s">
        <v>843</v>
      </c>
      <c r="AD97" s="15" t="s">
        <v>843</v>
      </c>
      <c r="AE97" s="4"/>
    </row>
    <row r="98" customFormat="false" ht="46.25" hidden="false" customHeight="false" outlineLevel="0" collapsed="false">
      <c r="A98" s="4" t="s">
        <v>844</v>
      </c>
      <c r="B98" s="4" t="s">
        <v>845</v>
      </c>
      <c r="C98" s="4" t="s">
        <v>22</v>
      </c>
      <c r="D98" s="4" t="s">
        <v>846</v>
      </c>
      <c r="E98" s="4" t="s">
        <v>832</v>
      </c>
      <c r="F98" s="4" t="s">
        <v>847</v>
      </c>
      <c r="G98" s="4"/>
      <c r="H98" s="11"/>
      <c r="I98" s="4" t="s">
        <v>834</v>
      </c>
      <c r="J98" s="4" t="s">
        <v>832</v>
      </c>
      <c r="K98" s="4" t="s">
        <v>835</v>
      </c>
      <c r="L98" s="4" t="s">
        <v>836</v>
      </c>
      <c r="M98" s="4" t="s">
        <v>848</v>
      </c>
      <c r="N98" s="4" t="s">
        <v>838</v>
      </c>
      <c r="O98" s="14" t="s">
        <v>95</v>
      </c>
      <c r="P98" s="15" t="s">
        <v>5</v>
      </c>
      <c r="Q98" s="4" t="s">
        <v>5</v>
      </c>
      <c r="R98" s="4" t="s">
        <v>79</v>
      </c>
      <c r="S98" s="4" t="s">
        <v>79</v>
      </c>
      <c r="T98" s="4" t="s">
        <v>79</v>
      </c>
      <c r="U98" s="4" t="s">
        <v>839</v>
      </c>
      <c r="V98" s="12" t="s">
        <v>10</v>
      </c>
      <c r="W98" s="4"/>
      <c r="X98" s="4"/>
      <c r="Y98" s="4" t="s">
        <v>840</v>
      </c>
      <c r="Z98" s="4" t="s">
        <v>841</v>
      </c>
      <c r="AA98" s="4" t="s">
        <v>842</v>
      </c>
      <c r="AB98" s="15" t="s">
        <v>843</v>
      </c>
      <c r="AC98" s="15" t="s">
        <v>843</v>
      </c>
      <c r="AD98" s="15" t="s">
        <v>843</v>
      </c>
      <c r="AE98" s="4"/>
    </row>
    <row r="99" customFormat="false" ht="46.25" hidden="false" customHeight="false" outlineLevel="0" collapsed="false">
      <c r="A99" s="4" t="s">
        <v>849</v>
      </c>
      <c r="B99" s="4" t="s">
        <v>850</v>
      </c>
      <c r="C99" s="4" t="s">
        <v>22</v>
      </c>
      <c r="D99" s="4" t="s">
        <v>851</v>
      </c>
      <c r="E99" s="4" t="s">
        <v>832</v>
      </c>
      <c r="F99" s="4" t="s">
        <v>852</v>
      </c>
      <c r="G99" s="4"/>
      <c r="H99" s="11"/>
      <c r="I99" s="4" t="s">
        <v>834</v>
      </c>
      <c r="J99" s="4" t="s">
        <v>832</v>
      </c>
      <c r="K99" s="4" t="s">
        <v>835</v>
      </c>
      <c r="L99" s="4" t="s">
        <v>836</v>
      </c>
      <c r="M99" s="4" t="s">
        <v>853</v>
      </c>
      <c r="N99" s="4" t="s">
        <v>838</v>
      </c>
      <c r="O99" s="14" t="s">
        <v>95</v>
      </c>
      <c r="P99" s="15" t="s">
        <v>5</v>
      </c>
      <c r="Q99" s="4" t="s">
        <v>5</v>
      </c>
      <c r="R99" s="4" t="s">
        <v>79</v>
      </c>
      <c r="S99" s="4" t="s">
        <v>79</v>
      </c>
      <c r="T99" s="4" t="s">
        <v>79</v>
      </c>
      <c r="U99" s="4" t="s">
        <v>839</v>
      </c>
      <c r="V99" s="12" t="s">
        <v>10</v>
      </c>
      <c r="W99" s="4"/>
      <c r="X99" s="4"/>
      <c r="Y99" s="4" t="s">
        <v>840</v>
      </c>
      <c r="Z99" s="4" t="s">
        <v>841</v>
      </c>
      <c r="AA99" s="4" t="s">
        <v>842</v>
      </c>
      <c r="AB99" s="15" t="s">
        <v>843</v>
      </c>
      <c r="AC99" s="15" t="s">
        <v>843</v>
      </c>
      <c r="AD99" s="15" t="s">
        <v>843</v>
      </c>
      <c r="AE99" s="4"/>
    </row>
    <row r="100" customFormat="false" ht="46.25" hidden="false" customHeight="false" outlineLevel="0" collapsed="false">
      <c r="A100" s="4" t="s">
        <v>854</v>
      </c>
      <c r="B100" s="4" t="s">
        <v>855</v>
      </c>
      <c r="C100" s="4" t="s">
        <v>22</v>
      </c>
      <c r="D100" s="4" t="s">
        <v>856</v>
      </c>
      <c r="E100" s="4" t="s">
        <v>832</v>
      </c>
      <c r="F100" s="4" t="s">
        <v>857</v>
      </c>
      <c r="G100" s="4"/>
      <c r="H100" s="11"/>
      <c r="I100" s="4" t="s">
        <v>834</v>
      </c>
      <c r="J100" s="4" t="s">
        <v>832</v>
      </c>
      <c r="K100" s="4" t="s">
        <v>835</v>
      </c>
      <c r="L100" s="4" t="s">
        <v>836</v>
      </c>
      <c r="M100" s="4" t="s">
        <v>858</v>
      </c>
      <c r="N100" s="4" t="s">
        <v>838</v>
      </c>
      <c r="O100" s="14" t="s">
        <v>95</v>
      </c>
      <c r="P100" s="15" t="s">
        <v>5</v>
      </c>
      <c r="Q100" s="4" t="s">
        <v>5</v>
      </c>
      <c r="R100" s="4" t="s">
        <v>79</v>
      </c>
      <c r="S100" s="4" t="s">
        <v>79</v>
      </c>
      <c r="T100" s="4" t="s">
        <v>79</v>
      </c>
      <c r="U100" s="4" t="s">
        <v>839</v>
      </c>
      <c r="V100" s="12" t="s">
        <v>10</v>
      </c>
      <c r="W100" s="4"/>
      <c r="X100" s="4"/>
      <c r="Y100" s="4" t="s">
        <v>840</v>
      </c>
      <c r="Z100" s="4" t="s">
        <v>841</v>
      </c>
      <c r="AA100" s="4" t="s">
        <v>842</v>
      </c>
      <c r="AB100" s="15" t="s">
        <v>843</v>
      </c>
      <c r="AC100" s="15" t="s">
        <v>843</v>
      </c>
      <c r="AD100" s="15" t="s">
        <v>843</v>
      </c>
      <c r="AE100" s="4"/>
    </row>
    <row r="101" customFormat="false" ht="46.25" hidden="false" customHeight="false" outlineLevel="0" collapsed="false">
      <c r="A101" s="4" t="s">
        <v>859</v>
      </c>
      <c r="B101" s="4" t="s">
        <v>860</v>
      </c>
      <c r="C101" s="4" t="s">
        <v>22</v>
      </c>
      <c r="D101" s="4" t="s">
        <v>861</v>
      </c>
      <c r="E101" s="4" t="s">
        <v>832</v>
      </c>
      <c r="F101" s="4" t="s">
        <v>862</v>
      </c>
      <c r="G101" s="4"/>
      <c r="H101" s="11"/>
      <c r="I101" s="4" t="s">
        <v>834</v>
      </c>
      <c r="J101" s="4" t="s">
        <v>832</v>
      </c>
      <c r="K101" s="4" t="s">
        <v>835</v>
      </c>
      <c r="L101" s="4" t="s">
        <v>836</v>
      </c>
      <c r="M101" s="4" t="s">
        <v>863</v>
      </c>
      <c r="N101" s="4" t="s">
        <v>838</v>
      </c>
      <c r="O101" s="14" t="s">
        <v>95</v>
      </c>
      <c r="P101" s="15" t="s">
        <v>5</v>
      </c>
      <c r="Q101" s="4" t="s">
        <v>5</v>
      </c>
      <c r="R101" s="4" t="s">
        <v>79</v>
      </c>
      <c r="S101" s="4" t="s">
        <v>79</v>
      </c>
      <c r="T101" s="4" t="s">
        <v>79</v>
      </c>
      <c r="U101" s="4" t="s">
        <v>839</v>
      </c>
      <c r="V101" s="12" t="s">
        <v>10</v>
      </c>
      <c r="W101" s="4"/>
      <c r="X101" s="4"/>
      <c r="Y101" s="4" t="s">
        <v>840</v>
      </c>
      <c r="Z101" s="4" t="s">
        <v>841</v>
      </c>
      <c r="AA101" s="4" t="s">
        <v>842</v>
      </c>
      <c r="AB101" s="15" t="s">
        <v>843</v>
      </c>
      <c r="AC101" s="15" t="s">
        <v>843</v>
      </c>
      <c r="AD101" s="15" t="s">
        <v>843</v>
      </c>
      <c r="AE101" s="4"/>
    </row>
    <row r="102" customFormat="false" ht="46.25" hidden="false" customHeight="false" outlineLevel="0" collapsed="false">
      <c r="A102" s="4" t="s">
        <v>864</v>
      </c>
      <c r="B102" s="4" t="s">
        <v>865</v>
      </c>
      <c r="C102" s="4" t="s">
        <v>22</v>
      </c>
      <c r="D102" s="4" t="s">
        <v>866</v>
      </c>
      <c r="E102" s="4" t="s">
        <v>832</v>
      </c>
      <c r="F102" s="4" t="s">
        <v>867</v>
      </c>
      <c r="G102" s="4"/>
      <c r="H102" s="11"/>
      <c r="I102" s="4" t="s">
        <v>834</v>
      </c>
      <c r="J102" s="4" t="s">
        <v>832</v>
      </c>
      <c r="K102" s="4" t="s">
        <v>835</v>
      </c>
      <c r="L102" s="4" t="s">
        <v>836</v>
      </c>
      <c r="M102" s="4" t="s">
        <v>868</v>
      </c>
      <c r="N102" s="4" t="s">
        <v>838</v>
      </c>
      <c r="O102" s="14" t="s">
        <v>95</v>
      </c>
      <c r="P102" s="15" t="s">
        <v>5</v>
      </c>
      <c r="Q102" s="4" t="s">
        <v>5</v>
      </c>
      <c r="R102" s="4" t="s">
        <v>79</v>
      </c>
      <c r="S102" s="4" t="s">
        <v>79</v>
      </c>
      <c r="T102" s="4" t="s">
        <v>79</v>
      </c>
      <c r="U102" s="4" t="s">
        <v>839</v>
      </c>
      <c r="V102" s="12" t="s">
        <v>10</v>
      </c>
      <c r="W102" s="4"/>
      <c r="X102" s="4"/>
      <c r="Y102" s="4" t="s">
        <v>840</v>
      </c>
      <c r="Z102" s="4" t="s">
        <v>841</v>
      </c>
      <c r="AA102" s="4" t="s">
        <v>842</v>
      </c>
      <c r="AB102" s="15" t="s">
        <v>843</v>
      </c>
      <c r="AC102" s="15" t="s">
        <v>843</v>
      </c>
      <c r="AD102" s="15" t="s">
        <v>843</v>
      </c>
      <c r="AE102" s="4"/>
    </row>
    <row r="103" customFormat="false" ht="46.25" hidden="false" customHeight="false" outlineLevel="0" collapsed="false">
      <c r="A103" s="4" t="s">
        <v>869</v>
      </c>
      <c r="B103" s="4" t="s">
        <v>870</v>
      </c>
      <c r="C103" s="4" t="s">
        <v>22</v>
      </c>
      <c r="D103" s="4" t="s">
        <v>871</v>
      </c>
      <c r="E103" s="4" t="s">
        <v>832</v>
      </c>
      <c r="F103" s="4" t="s">
        <v>872</v>
      </c>
      <c r="G103" s="4"/>
      <c r="H103" s="11"/>
      <c r="I103" s="4" t="s">
        <v>834</v>
      </c>
      <c r="J103" s="4" t="s">
        <v>832</v>
      </c>
      <c r="K103" s="4" t="s">
        <v>835</v>
      </c>
      <c r="L103" s="4" t="s">
        <v>836</v>
      </c>
      <c r="M103" s="4" t="s">
        <v>873</v>
      </c>
      <c r="N103" s="4" t="s">
        <v>838</v>
      </c>
      <c r="O103" s="14" t="s">
        <v>95</v>
      </c>
      <c r="P103" s="15" t="s">
        <v>5</v>
      </c>
      <c r="Q103" s="4" t="s">
        <v>5</v>
      </c>
      <c r="R103" s="4" t="s">
        <v>79</v>
      </c>
      <c r="S103" s="4" t="s">
        <v>79</v>
      </c>
      <c r="T103" s="4" t="s">
        <v>79</v>
      </c>
      <c r="U103" s="4" t="s">
        <v>839</v>
      </c>
      <c r="V103" s="12" t="s">
        <v>10</v>
      </c>
      <c r="W103" s="4"/>
      <c r="X103" s="4"/>
      <c r="Y103" s="4" t="s">
        <v>840</v>
      </c>
      <c r="Z103" s="4" t="s">
        <v>841</v>
      </c>
      <c r="AA103" s="4" t="s">
        <v>842</v>
      </c>
      <c r="AB103" s="15" t="s">
        <v>843</v>
      </c>
      <c r="AC103" s="15" t="s">
        <v>843</v>
      </c>
      <c r="AD103" s="15" t="s">
        <v>843</v>
      </c>
      <c r="AE103" s="4"/>
    </row>
    <row r="104" customFormat="false" ht="46.25" hidden="false" customHeight="false" outlineLevel="0" collapsed="false">
      <c r="A104" s="4" t="s">
        <v>874</v>
      </c>
      <c r="B104" s="4" t="s">
        <v>875</v>
      </c>
      <c r="C104" s="4" t="s">
        <v>22</v>
      </c>
      <c r="D104" s="4" t="s">
        <v>876</v>
      </c>
      <c r="E104" s="4" t="s">
        <v>832</v>
      </c>
      <c r="F104" s="4" t="s">
        <v>877</v>
      </c>
      <c r="G104" s="4"/>
      <c r="H104" s="11"/>
      <c r="I104" s="4" t="s">
        <v>834</v>
      </c>
      <c r="J104" s="4" t="s">
        <v>832</v>
      </c>
      <c r="K104" s="4" t="s">
        <v>835</v>
      </c>
      <c r="L104" s="4" t="s">
        <v>836</v>
      </c>
      <c r="M104" s="4" t="s">
        <v>878</v>
      </c>
      <c r="N104" s="4" t="s">
        <v>838</v>
      </c>
      <c r="O104" s="14" t="s">
        <v>95</v>
      </c>
      <c r="P104" s="15" t="s">
        <v>5</v>
      </c>
      <c r="Q104" s="4" t="s">
        <v>5</v>
      </c>
      <c r="R104" s="4" t="s">
        <v>79</v>
      </c>
      <c r="S104" s="4" t="s">
        <v>79</v>
      </c>
      <c r="T104" s="4" t="s">
        <v>79</v>
      </c>
      <c r="U104" s="4" t="s">
        <v>839</v>
      </c>
      <c r="V104" s="12" t="s">
        <v>10</v>
      </c>
      <c r="W104" s="4"/>
      <c r="X104" s="4"/>
      <c r="Y104" s="4" t="s">
        <v>840</v>
      </c>
      <c r="Z104" s="4" t="s">
        <v>841</v>
      </c>
      <c r="AA104" s="4" t="s">
        <v>842</v>
      </c>
      <c r="AB104" s="15" t="s">
        <v>843</v>
      </c>
      <c r="AC104" s="15" t="s">
        <v>843</v>
      </c>
      <c r="AD104" s="15" t="s">
        <v>843</v>
      </c>
      <c r="AE104" s="4"/>
    </row>
    <row r="105" customFormat="false" ht="46.25" hidden="false" customHeight="false" outlineLevel="0" collapsed="false">
      <c r="A105" s="4" t="s">
        <v>879</v>
      </c>
      <c r="B105" s="4" t="s">
        <v>880</v>
      </c>
      <c r="C105" s="4" t="s">
        <v>22</v>
      </c>
      <c r="D105" s="4" t="s">
        <v>881</v>
      </c>
      <c r="E105" s="4" t="s">
        <v>832</v>
      </c>
      <c r="F105" s="4" t="s">
        <v>882</v>
      </c>
      <c r="G105" s="4"/>
      <c r="H105" s="11"/>
      <c r="I105" s="4" t="s">
        <v>834</v>
      </c>
      <c r="J105" s="4" t="s">
        <v>832</v>
      </c>
      <c r="K105" s="4" t="s">
        <v>835</v>
      </c>
      <c r="L105" s="4" t="s">
        <v>836</v>
      </c>
      <c r="M105" s="4" t="s">
        <v>883</v>
      </c>
      <c r="N105" s="4" t="s">
        <v>838</v>
      </c>
      <c r="O105" s="14" t="s">
        <v>95</v>
      </c>
      <c r="P105" s="15" t="s">
        <v>5</v>
      </c>
      <c r="Q105" s="4" t="s">
        <v>5</v>
      </c>
      <c r="R105" s="4" t="s">
        <v>79</v>
      </c>
      <c r="S105" s="4" t="s">
        <v>79</v>
      </c>
      <c r="T105" s="4" t="s">
        <v>79</v>
      </c>
      <c r="U105" s="4" t="s">
        <v>839</v>
      </c>
      <c r="V105" s="12" t="s">
        <v>10</v>
      </c>
      <c r="W105" s="4"/>
      <c r="X105" s="4"/>
      <c r="Y105" s="4" t="s">
        <v>840</v>
      </c>
      <c r="Z105" s="4" t="s">
        <v>841</v>
      </c>
      <c r="AA105" s="4" t="s">
        <v>842</v>
      </c>
      <c r="AB105" s="15" t="s">
        <v>843</v>
      </c>
      <c r="AC105" s="15" t="s">
        <v>843</v>
      </c>
      <c r="AD105" s="15" t="s">
        <v>843</v>
      </c>
      <c r="AE105" s="4"/>
    </row>
    <row r="106" customFormat="false" ht="46.25" hidden="false" customHeight="false" outlineLevel="0" collapsed="false">
      <c r="A106" s="4" t="s">
        <v>884</v>
      </c>
      <c r="B106" s="4" t="s">
        <v>885</v>
      </c>
      <c r="C106" s="4" t="s">
        <v>22</v>
      </c>
      <c r="D106" s="4" t="s">
        <v>886</v>
      </c>
      <c r="E106" s="4" t="s">
        <v>832</v>
      </c>
      <c r="F106" s="4" t="s">
        <v>887</v>
      </c>
      <c r="G106" s="4"/>
      <c r="H106" s="11"/>
      <c r="I106" s="4" t="s">
        <v>834</v>
      </c>
      <c r="J106" s="4" t="s">
        <v>832</v>
      </c>
      <c r="K106" s="4" t="s">
        <v>835</v>
      </c>
      <c r="L106" s="4" t="s">
        <v>836</v>
      </c>
      <c r="M106" s="4" t="s">
        <v>888</v>
      </c>
      <c r="N106" s="4" t="s">
        <v>838</v>
      </c>
      <c r="O106" s="14" t="s">
        <v>95</v>
      </c>
      <c r="P106" s="15" t="s">
        <v>5</v>
      </c>
      <c r="Q106" s="4" t="s">
        <v>5</v>
      </c>
      <c r="R106" s="4" t="s">
        <v>79</v>
      </c>
      <c r="S106" s="4" t="s">
        <v>79</v>
      </c>
      <c r="T106" s="4" t="s">
        <v>79</v>
      </c>
      <c r="U106" s="4" t="s">
        <v>839</v>
      </c>
      <c r="V106" s="12" t="s">
        <v>10</v>
      </c>
      <c r="W106" s="4"/>
      <c r="X106" s="4"/>
      <c r="Y106" s="4" t="s">
        <v>840</v>
      </c>
      <c r="Z106" s="4" t="s">
        <v>841</v>
      </c>
      <c r="AA106" s="4" t="s">
        <v>842</v>
      </c>
      <c r="AB106" s="15" t="s">
        <v>843</v>
      </c>
      <c r="AC106" s="15" t="s">
        <v>843</v>
      </c>
      <c r="AD106" s="15" t="s">
        <v>843</v>
      </c>
      <c r="AE106" s="4"/>
    </row>
    <row r="107" customFormat="false" ht="57.45" hidden="false" customHeight="false" outlineLevel="0" collapsed="false">
      <c r="A107" s="4" t="s">
        <v>889</v>
      </c>
      <c r="B107" s="4" t="s">
        <v>890</v>
      </c>
      <c r="C107" s="4" t="s">
        <v>23</v>
      </c>
      <c r="D107" s="4" t="s">
        <v>891</v>
      </c>
      <c r="E107" s="4" t="s">
        <v>892</v>
      </c>
      <c r="F107" s="4" t="s">
        <v>893</v>
      </c>
      <c r="G107" s="4" t="s">
        <v>894</v>
      </c>
      <c r="H107" s="11"/>
      <c r="I107" s="4" t="s">
        <v>895</v>
      </c>
      <c r="J107" s="4" t="s">
        <v>895</v>
      </c>
      <c r="K107" s="4" t="s">
        <v>896</v>
      </c>
      <c r="L107" s="4" t="s">
        <v>897</v>
      </c>
      <c r="M107" s="4" t="s">
        <v>104</v>
      </c>
      <c r="N107" s="4" t="s">
        <v>898</v>
      </c>
      <c r="O107" s="16" t="s">
        <v>106</v>
      </c>
      <c r="P107" s="15" t="s">
        <v>5</v>
      </c>
      <c r="Q107" s="4" t="s">
        <v>77</v>
      </c>
      <c r="R107" s="4" t="s">
        <v>79</v>
      </c>
      <c r="S107" s="4" t="s">
        <v>79</v>
      </c>
      <c r="T107" s="4" t="s">
        <v>79</v>
      </c>
      <c r="U107" s="4" t="s">
        <v>899</v>
      </c>
      <c r="V107" s="13" t="s">
        <v>9</v>
      </c>
      <c r="W107" s="4" t="s">
        <v>900</v>
      </c>
      <c r="X107" s="4"/>
      <c r="Y107" s="4"/>
      <c r="Z107" s="4"/>
      <c r="AA107" s="4" t="s">
        <v>901</v>
      </c>
      <c r="AB107" s="15" t="s">
        <v>97</v>
      </c>
      <c r="AC107" s="13" t="s">
        <v>83</v>
      </c>
      <c r="AD107" s="15" t="s">
        <v>97</v>
      </c>
      <c r="AE107" s="4"/>
    </row>
    <row r="108" customFormat="false" ht="46.25" hidden="false" customHeight="false" outlineLevel="0" collapsed="false">
      <c r="A108" s="4" t="s">
        <v>902</v>
      </c>
      <c r="B108" s="4" t="s">
        <v>903</v>
      </c>
      <c r="C108" s="4" t="s">
        <v>23</v>
      </c>
      <c r="D108" s="4" t="s">
        <v>904</v>
      </c>
      <c r="E108" s="4" t="s">
        <v>892</v>
      </c>
      <c r="F108" s="4" t="s">
        <v>905</v>
      </c>
      <c r="G108" s="4"/>
      <c r="H108" s="11"/>
      <c r="I108" s="4" t="s">
        <v>895</v>
      </c>
      <c r="J108" s="4" t="s">
        <v>895</v>
      </c>
      <c r="K108" s="4" t="s">
        <v>896</v>
      </c>
      <c r="L108" s="4" t="s">
        <v>906</v>
      </c>
      <c r="M108" s="4" t="s">
        <v>104</v>
      </c>
      <c r="N108" s="4" t="s">
        <v>907</v>
      </c>
      <c r="O108" s="16" t="s">
        <v>106</v>
      </c>
      <c r="P108" s="15" t="s">
        <v>5</v>
      </c>
      <c r="Q108" s="4" t="s">
        <v>77</v>
      </c>
      <c r="R108" s="4" t="s">
        <v>79</v>
      </c>
      <c r="S108" s="4" t="s">
        <v>79</v>
      </c>
      <c r="T108" s="4" t="s">
        <v>79</v>
      </c>
      <c r="U108" s="4" t="s">
        <v>899</v>
      </c>
      <c r="V108" s="13" t="s">
        <v>9</v>
      </c>
      <c r="W108" s="4" t="s">
        <v>900</v>
      </c>
      <c r="X108" s="4"/>
      <c r="Y108" s="4"/>
      <c r="Z108" s="4"/>
      <c r="AA108" s="4" t="s">
        <v>908</v>
      </c>
      <c r="AB108" s="15" t="s">
        <v>97</v>
      </c>
      <c r="AC108" s="13" t="s">
        <v>83</v>
      </c>
      <c r="AD108" s="15" t="s">
        <v>97</v>
      </c>
      <c r="AE108" s="4"/>
    </row>
    <row r="109" customFormat="false" ht="46.25" hidden="false" customHeight="false" outlineLevel="0" collapsed="false">
      <c r="A109" s="4" t="s">
        <v>909</v>
      </c>
      <c r="B109" s="4" t="s">
        <v>910</v>
      </c>
      <c r="C109" s="4" t="s">
        <v>23</v>
      </c>
      <c r="D109" s="4" t="s">
        <v>911</v>
      </c>
      <c r="E109" s="4" t="s">
        <v>892</v>
      </c>
      <c r="F109" s="4" t="s">
        <v>912</v>
      </c>
      <c r="G109" s="4"/>
      <c r="H109" s="11"/>
      <c r="I109" s="4" t="s">
        <v>895</v>
      </c>
      <c r="J109" s="4" t="s">
        <v>895</v>
      </c>
      <c r="K109" s="4" t="s">
        <v>896</v>
      </c>
      <c r="L109" s="4" t="s">
        <v>913</v>
      </c>
      <c r="M109" s="4" t="s">
        <v>104</v>
      </c>
      <c r="N109" s="4" t="s">
        <v>914</v>
      </c>
      <c r="O109" s="16" t="s">
        <v>106</v>
      </c>
      <c r="P109" s="15" t="s">
        <v>5</v>
      </c>
      <c r="Q109" s="4" t="s">
        <v>77</v>
      </c>
      <c r="R109" s="4" t="s">
        <v>79</v>
      </c>
      <c r="S109" s="4" t="s">
        <v>79</v>
      </c>
      <c r="T109" s="4" t="s">
        <v>79</v>
      </c>
      <c r="U109" s="4" t="s">
        <v>899</v>
      </c>
      <c r="V109" s="13" t="s">
        <v>9</v>
      </c>
      <c r="W109" s="4" t="s">
        <v>900</v>
      </c>
      <c r="X109" s="4"/>
      <c r="Y109" s="4"/>
      <c r="Z109" s="4"/>
      <c r="AA109" s="4" t="s">
        <v>908</v>
      </c>
      <c r="AB109" s="15" t="s">
        <v>97</v>
      </c>
      <c r="AC109" s="13" t="s">
        <v>83</v>
      </c>
      <c r="AD109" s="15" t="s">
        <v>97</v>
      </c>
      <c r="AE109" s="4"/>
    </row>
    <row r="110" customFormat="false" ht="46.25" hidden="false" customHeight="false" outlineLevel="0" collapsed="false">
      <c r="A110" s="4" t="s">
        <v>915</v>
      </c>
      <c r="B110" s="4" t="s">
        <v>916</v>
      </c>
      <c r="C110" s="4" t="s">
        <v>23</v>
      </c>
      <c r="D110" s="4" t="s">
        <v>917</v>
      </c>
      <c r="E110" s="4" t="s">
        <v>892</v>
      </c>
      <c r="F110" s="4" t="s">
        <v>905</v>
      </c>
      <c r="G110" s="4"/>
      <c r="H110" s="11"/>
      <c r="I110" s="4" t="s">
        <v>895</v>
      </c>
      <c r="J110" s="4" t="s">
        <v>895</v>
      </c>
      <c r="K110" s="4" t="s">
        <v>896</v>
      </c>
      <c r="L110" s="4" t="s">
        <v>918</v>
      </c>
      <c r="M110" s="4" t="s">
        <v>104</v>
      </c>
      <c r="N110" s="4" t="s">
        <v>919</v>
      </c>
      <c r="O110" s="16" t="s">
        <v>106</v>
      </c>
      <c r="P110" s="15" t="s">
        <v>5</v>
      </c>
      <c r="Q110" s="4" t="s">
        <v>77</v>
      </c>
      <c r="R110" s="4" t="s">
        <v>79</v>
      </c>
      <c r="S110" s="4" t="s">
        <v>79</v>
      </c>
      <c r="T110" s="4" t="s">
        <v>79</v>
      </c>
      <c r="U110" s="4" t="s">
        <v>899</v>
      </c>
      <c r="V110" s="13" t="s">
        <v>9</v>
      </c>
      <c r="W110" s="4" t="s">
        <v>900</v>
      </c>
      <c r="X110" s="4"/>
      <c r="Y110" s="4"/>
      <c r="Z110" s="4"/>
      <c r="AA110" s="4" t="s">
        <v>908</v>
      </c>
      <c r="AB110" s="15" t="s">
        <v>97</v>
      </c>
      <c r="AC110" s="13" t="s">
        <v>83</v>
      </c>
      <c r="AD110" s="15" t="s">
        <v>97</v>
      </c>
      <c r="AE110" s="4"/>
    </row>
  </sheetData>
  <autoFilter ref="A4:AE1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8"/>
    <col collapsed="false" customWidth="true" hidden="false" outlineLevel="0" max="3" min="3" style="0" width="56"/>
    <col collapsed="false" customWidth="true" hidden="false" outlineLevel="0" max="4" min="4" style="0" width="12"/>
    <col collapsed="false" customWidth="true" hidden="false" outlineLevel="0" max="5" min="5" style="0" width="14"/>
    <col collapsed="false" customWidth="true" hidden="false" outlineLevel="0" max="6" min="6" style="0" width="18"/>
  </cols>
  <sheetData>
    <row r="1" customFormat="false" ht="17.35" hidden="false" customHeight="false" outlineLevel="0" collapsed="false">
      <c r="A1" s="1" t="s">
        <v>920</v>
      </c>
    </row>
    <row r="2" customFormat="false" ht="15" hidden="false" customHeight="false" outlineLevel="0" collapsed="false">
      <c r="A2" s="2" t="s">
        <v>921</v>
      </c>
    </row>
    <row r="4" customFormat="false" ht="31.5" hidden="false" customHeight="true" outlineLevel="0" collapsed="false">
      <c r="A4" s="3" t="s">
        <v>34</v>
      </c>
      <c r="B4" s="3" t="s">
        <v>35</v>
      </c>
      <c r="C4" s="3" t="s">
        <v>922</v>
      </c>
      <c r="D4" s="3" t="s">
        <v>42</v>
      </c>
      <c r="E4" s="3" t="s">
        <v>53</v>
      </c>
      <c r="F4" s="3" t="s">
        <v>923</v>
      </c>
    </row>
    <row r="5" customFormat="false" ht="23.85" hidden="false" customHeight="false" outlineLevel="0" collapsed="false">
      <c r="A5" s="4" t="s">
        <v>63</v>
      </c>
      <c r="B5" s="4" t="s">
        <v>64</v>
      </c>
      <c r="C5" s="4" t="s">
        <v>924</v>
      </c>
      <c r="D5" s="4" t="s">
        <v>71</v>
      </c>
      <c r="E5" s="4" t="s">
        <v>9</v>
      </c>
      <c r="F5" s="4" t="s">
        <v>67</v>
      </c>
    </row>
    <row r="6" customFormat="false" ht="15" hidden="false" customHeight="false" outlineLevel="0" collapsed="false">
      <c r="A6" s="4" t="s">
        <v>119</v>
      </c>
      <c r="B6" s="4" t="s">
        <v>120</v>
      </c>
      <c r="C6" s="4" t="s">
        <v>925</v>
      </c>
      <c r="D6" s="4" t="s">
        <v>71</v>
      </c>
      <c r="E6" s="4" t="s">
        <v>9</v>
      </c>
      <c r="F6" s="4" t="s">
        <v>122</v>
      </c>
    </row>
    <row r="7" customFormat="false" ht="23.85" hidden="false" customHeight="false" outlineLevel="0" collapsed="false">
      <c r="A7" s="4" t="s">
        <v>128</v>
      </c>
      <c r="B7" s="4" t="s">
        <v>129</v>
      </c>
      <c r="C7" s="4" t="s">
        <v>926</v>
      </c>
      <c r="D7" s="4" t="s">
        <v>71</v>
      </c>
      <c r="E7" s="4" t="s">
        <v>9</v>
      </c>
      <c r="F7" s="4" t="s">
        <v>87</v>
      </c>
    </row>
    <row r="8" customFormat="false" ht="23.85" hidden="false" customHeight="false" outlineLevel="0" collapsed="false">
      <c r="A8" s="4" t="s">
        <v>216</v>
      </c>
      <c r="B8" s="4" t="s">
        <v>217</v>
      </c>
      <c r="C8" s="4" t="s">
        <v>927</v>
      </c>
      <c r="D8" s="4" t="s">
        <v>142</v>
      </c>
      <c r="E8" s="4" t="s">
        <v>9</v>
      </c>
      <c r="F8" s="4" t="s">
        <v>219</v>
      </c>
    </row>
    <row r="9" customFormat="false" ht="15" hidden="false" customHeight="false" outlineLevel="0" collapsed="false">
      <c r="A9" s="4" t="s">
        <v>302</v>
      </c>
      <c r="B9" s="4" t="s">
        <v>303</v>
      </c>
      <c r="C9" s="4" t="s">
        <v>928</v>
      </c>
      <c r="D9" s="4" t="s">
        <v>142</v>
      </c>
      <c r="E9" s="4" t="s">
        <v>9</v>
      </c>
      <c r="F9" s="4" t="s">
        <v>305</v>
      </c>
    </row>
    <row r="10" customFormat="false" ht="15" hidden="false" customHeight="false" outlineLevel="0" collapsed="false">
      <c r="A10" s="4" t="s">
        <v>326</v>
      </c>
      <c r="B10" s="4" t="s">
        <v>327</v>
      </c>
      <c r="C10" s="4" t="s">
        <v>929</v>
      </c>
      <c r="D10" s="4" t="s">
        <v>71</v>
      </c>
      <c r="E10" s="4" t="s">
        <v>9</v>
      </c>
      <c r="F10" s="4" t="s">
        <v>329</v>
      </c>
    </row>
    <row r="11" customFormat="false" ht="15" hidden="false" customHeight="false" outlineLevel="0" collapsed="false">
      <c r="A11" s="4" t="s">
        <v>388</v>
      </c>
      <c r="B11" s="4" t="s">
        <v>389</v>
      </c>
      <c r="C11" s="4" t="s">
        <v>930</v>
      </c>
      <c r="D11" s="4" t="s">
        <v>71</v>
      </c>
      <c r="E11" s="4" t="s">
        <v>9</v>
      </c>
      <c r="F11" s="4" t="s">
        <v>391</v>
      </c>
    </row>
    <row r="12" customFormat="false" ht="15" hidden="false" customHeight="false" outlineLevel="0" collapsed="false">
      <c r="A12" s="4" t="s">
        <v>422</v>
      </c>
      <c r="B12" s="4" t="s">
        <v>423</v>
      </c>
      <c r="C12" s="4" t="s">
        <v>931</v>
      </c>
      <c r="D12" s="4" t="s">
        <v>142</v>
      </c>
      <c r="E12" s="4" t="s">
        <v>9</v>
      </c>
      <c r="F12" s="4" t="s">
        <v>425</v>
      </c>
    </row>
    <row r="13" customFormat="false" ht="15" hidden="false" customHeight="false" outlineLevel="0" collapsed="false">
      <c r="A13" s="4" t="s">
        <v>432</v>
      </c>
      <c r="B13" s="4" t="s">
        <v>433</v>
      </c>
      <c r="C13" s="4" t="s">
        <v>932</v>
      </c>
      <c r="D13" s="4" t="s">
        <v>437</v>
      </c>
      <c r="E13" s="4" t="s">
        <v>9</v>
      </c>
      <c r="F13" s="4" t="s">
        <v>435</v>
      </c>
    </row>
    <row r="14" customFormat="false" ht="15" hidden="false" customHeight="false" outlineLevel="0" collapsed="false">
      <c r="A14" s="4" t="s">
        <v>487</v>
      </c>
      <c r="B14" s="4" t="s">
        <v>488</v>
      </c>
      <c r="C14" s="4" t="s">
        <v>933</v>
      </c>
      <c r="D14" s="4" t="s">
        <v>142</v>
      </c>
      <c r="E14" s="4" t="s">
        <v>9</v>
      </c>
      <c r="F14" s="4" t="s">
        <v>490</v>
      </c>
    </row>
    <row r="15" customFormat="false" ht="15" hidden="false" customHeight="false" outlineLevel="0" collapsed="false">
      <c r="A15" s="4" t="s">
        <v>547</v>
      </c>
      <c r="B15" s="4" t="s">
        <v>548</v>
      </c>
      <c r="C15" s="4" t="s">
        <v>934</v>
      </c>
      <c r="D15" s="4" t="s">
        <v>552</v>
      </c>
      <c r="E15" s="4" t="s">
        <v>9</v>
      </c>
      <c r="F15" s="4" t="s">
        <v>540</v>
      </c>
    </row>
    <row r="16" customFormat="false" ht="15" hidden="false" customHeight="false" outlineLevel="0" collapsed="false">
      <c r="A16" s="4" t="s">
        <v>570</v>
      </c>
      <c r="B16" s="4" t="s">
        <v>571</v>
      </c>
      <c r="C16" s="4" t="s">
        <v>935</v>
      </c>
      <c r="D16" s="4" t="s">
        <v>552</v>
      </c>
      <c r="E16" s="4" t="s">
        <v>9</v>
      </c>
      <c r="F16" s="4" t="s">
        <v>573</v>
      </c>
    </row>
    <row r="17" customFormat="false" ht="23.85" hidden="false" customHeight="false" outlineLevel="0" collapsed="false">
      <c r="A17" s="4" t="s">
        <v>638</v>
      </c>
      <c r="B17" s="4" t="s">
        <v>639</v>
      </c>
      <c r="C17" s="4" t="s">
        <v>936</v>
      </c>
      <c r="D17" s="4" t="s">
        <v>552</v>
      </c>
      <c r="E17" s="4" t="s">
        <v>9</v>
      </c>
      <c r="F17" s="4" t="s">
        <v>641</v>
      </c>
    </row>
    <row r="18" customFormat="false" ht="15" hidden="false" customHeight="false" outlineLevel="0" collapsed="false">
      <c r="A18" s="4" t="s">
        <v>664</v>
      </c>
      <c r="B18" s="4" t="s">
        <v>665</v>
      </c>
      <c r="C18" s="4" t="s">
        <v>937</v>
      </c>
      <c r="D18" s="4" t="s">
        <v>71</v>
      </c>
      <c r="E18" s="4" t="s">
        <v>9</v>
      </c>
      <c r="F18" s="4" t="s">
        <v>667</v>
      </c>
    </row>
    <row r="19" customFormat="false" ht="15" hidden="false" customHeight="false" outlineLevel="0" collapsed="false">
      <c r="A19" s="4" t="s">
        <v>673</v>
      </c>
      <c r="B19" s="4" t="s">
        <v>674</v>
      </c>
      <c r="C19" s="4" t="s">
        <v>938</v>
      </c>
      <c r="D19" s="4" t="s">
        <v>71</v>
      </c>
      <c r="E19" s="4" t="s">
        <v>9</v>
      </c>
      <c r="F19" s="4" t="s">
        <v>676</v>
      </c>
    </row>
    <row r="20" customFormat="false" ht="23.85" hidden="false" customHeight="false" outlineLevel="0" collapsed="false">
      <c r="A20" s="4" t="s">
        <v>689</v>
      </c>
      <c r="B20" s="4" t="s">
        <v>690</v>
      </c>
      <c r="C20" s="4" t="s">
        <v>939</v>
      </c>
      <c r="D20" s="4" t="s">
        <v>552</v>
      </c>
      <c r="E20" s="4" t="s">
        <v>9</v>
      </c>
      <c r="F20" s="4" t="s">
        <v>692</v>
      </c>
    </row>
    <row r="21" customFormat="false" ht="15" hidden="false" customHeight="false" outlineLevel="0" collapsed="false">
      <c r="A21" s="4" t="s">
        <v>712</v>
      </c>
      <c r="B21" s="4" t="s">
        <v>713</v>
      </c>
      <c r="C21" s="4" t="s">
        <v>940</v>
      </c>
      <c r="D21" s="4" t="s">
        <v>552</v>
      </c>
      <c r="E21" s="4" t="s">
        <v>9</v>
      </c>
      <c r="F21" s="4" t="s">
        <v>715</v>
      </c>
    </row>
    <row r="22" customFormat="false" ht="15" hidden="false" customHeight="false" outlineLevel="0" collapsed="false">
      <c r="A22" s="4" t="s">
        <v>747</v>
      </c>
      <c r="B22" s="4" t="s">
        <v>748</v>
      </c>
      <c r="C22" s="4" t="s">
        <v>941</v>
      </c>
      <c r="D22" s="4" t="s">
        <v>739</v>
      </c>
      <c r="E22" s="4" t="s">
        <v>9</v>
      </c>
      <c r="F22" s="4" t="s">
        <v>122</v>
      </c>
    </row>
    <row r="23" customFormat="false" ht="15" hidden="false" customHeight="false" outlineLevel="0" collapsed="false">
      <c r="A23" s="4" t="s">
        <v>775</v>
      </c>
      <c r="B23" s="4" t="s">
        <v>776</v>
      </c>
      <c r="C23" s="4" t="s">
        <v>942</v>
      </c>
      <c r="D23" s="4" t="s">
        <v>779</v>
      </c>
      <c r="E23" s="4" t="s">
        <v>9</v>
      </c>
      <c r="F23" s="4" t="s">
        <v>778</v>
      </c>
    </row>
    <row r="25" customFormat="false" ht="15" hidden="false" customHeight="false" outlineLevel="0" collapsed="false">
      <c r="A25" s="9" t="s">
        <v>943</v>
      </c>
      <c r="B25" s="8" t="n">
        <f aca="false">COUNTIF('Test Cases'!$P$5:$P$110,"P1")</f>
        <v>19</v>
      </c>
    </row>
    <row r="26" customFormat="false" ht="15" hidden="false" customHeight="false" outlineLevel="0" collapsed="false">
      <c r="A26" s="9" t="s">
        <v>944</v>
      </c>
      <c r="B26" s="8" t="s">
        <v>945</v>
      </c>
    </row>
    <row r="27" customFormat="false" ht="15" hidden="false" customHeight="false" outlineLevel="0" collapsed="false">
      <c r="A27" s="9" t="s">
        <v>946</v>
      </c>
      <c r="B27" s="8" t="str">
        <f aca="false">IF(AND(B25&gt;=15,B25&lt;=20),"Yes","No - review")</f>
        <v>Yes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11"/>
    <col collapsed="false" customWidth="true" hidden="false" outlineLevel="0" max="4" min="4" style="0" width="56"/>
    <col collapsed="false" customWidth="true" hidden="false" outlineLevel="0" max="5" min="5" style="0" width="11"/>
    <col collapsed="false" customWidth="true" hidden="false" outlineLevel="0" max="6" min="6" style="0" width="9"/>
    <col collapsed="false" customWidth="true" hidden="false" outlineLevel="0" max="7" min="7" style="0" width="10"/>
    <col collapsed="false" customWidth="true" hidden="false" outlineLevel="0" max="8" min="8" style="0" width="28"/>
    <col collapsed="false" customWidth="true" hidden="false" outlineLevel="0" max="9" min="9" style="0" width="60"/>
    <col collapsed="false" customWidth="true" hidden="false" outlineLevel="0" max="10" min="10" style="0" width="11"/>
  </cols>
  <sheetData>
    <row r="1" customFormat="false" ht="17.35" hidden="false" customHeight="false" outlineLevel="0" collapsed="false">
      <c r="A1" s="1" t="s">
        <v>947</v>
      </c>
    </row>
    <row r="2" customFormat="false" ht="15" hidden="false" customHeight="false" outlineLevel="0" collapsed="false">
      <c r="A2" s="2" t="s">
        <v>948</v>
      </c>
    </row>
    <row r="4" customFormat="false" ht="31.5" hidden="false" customHeight="true" outlineLevel="0" collapsed="false">
      <c r="A4" s="3" t="s">
        <v>949</v>
      </c>
      <c r="B4" s="3" t="s">
        <v>2</v>
      </c>
      <c r="C4" s="3" t="s">
        <v>42</v>
      </c>
      <c r="D4" s="3" t="s">
        <v>950</v>
      </c>
      <c r="E4" s="3" t="s">
        <v>951</v>
      </c>
      <c r="F4" s="3" t="s">
        <v>952</v>
      </c>
      <c r="G4" s="3" t="s">
        <v>953</v>
      </c>
      <c r="H4" s="3" t="s">
        <v>954</v>
      </c>
      <c r="I4" s="3" t="s">
        <v>955</v>
      </c>
      <c r="J4" s="3" t="s">
        <v>956</v>
      </c>
    </row>
    <row r="5" customFormat="false" ht="15" hidden="false" customHeight="false" outlineLevel="0" collapsed="false">
      <c r="A5" s="4" t="s">
        <v>67</v>
      </c>
      <c r="B5" s="4" t="s">
        <v>957</v>
      </c>
      <c r="C5" s="4" t="s">
        <v>71</v>
      </c>
      <c r="D5" s="4" t="s">
        <v>958</v>
      </c>
      <c r="E5" s="4" t="s">
        <v>106</v>
      </c>
      <c r="F5" s="4" t="s">
        <v>95</v>
      </c>
      <c r="G5" s="14" t="s">
        <v>95</v>
      </c>
      <c r="H5" s="4" t="s">
        <v>65</v>
      </c>
      <c r="I5" s="4" t="s">
        <v>959</v>
      </c>
      <c r="J5" s="4" t="n">
        <f aca="false">COUNTIF('Test Cases'!$F$5:$F$110,"*"&amp;A5&amp;"*")</f>
        <v>3</v>
      </c>
    </row>
    <row r="6" customFormat="false" ht="15" hidden="false" customHeight="false" outlineLevel="0" collapsed="false">
      <c r="A6" s="4" t="s">
        <v>87</v>
      </c>
      <c r="B6" s="4" t="s">
        <v>957</v>
      </c>
      <c r="C6" s="4" t="s">
        <v>71</v>
      </c>
      <c r="D6" s="4" t="s">
        <v>960</v>
      </c>
      <c r="E6" s="4" t="s">
        <v>106</v>
      </c>
      <c r="F6" s="4" t="s">
        <v>106</v>
      </c>
      <c r="G6" s="16" t="s">
        <v>106</v>
      </c>
      <c r="H6" s="4" t="s">
        <v>961</v>
      </c>
      <c r="I6" s="4" t="s">
        <v>962</v>
      </c>
      <c r="J6" s="4" t="n">
        <f aca="false">COUNTIF('Test Cases'!$F$5:$F$110,"*"&amp;A6&amp;"*")</f>
        <v>3</v>
      </c>
    </row>
    <row r="7" customFormat="false" ht="23.85" hidden="false" customHeight="false" outlineLevel="0" collapsed="false">
      <c r="A7" s="4" t="s">
        <v>140</v>
      </c>
      <c r="B7" s="4" t="s">
        <v>957</v>
      </c>
      <c r="C7" s="4" t="s">
        <v>963</v>
      </c>
      <c r="D7" s="4" t="s">
        <v>964</v>
      </c>
      <c r="E7" s="4" t="s">
        <v>106</v>
      </c>
      <c r="F7" s="4" t="s">
        <v>95</v>
      </c>
      <c r="G7" s="14" t="s">
        <v>95</v>
      </c>
      <c r="H7" s="4" t="s">
        <v>965</v>
      </c>
      <c r="I7" s="4" t="s">
        <v>966</v>
      </c>
      <c r="J7" s="4" t="n">
        <f aca="false">COUNTIF('Test Cases'!$F$5:$F$110,"*"&amp;A7&amp;"*")</f>
        <v>2</v>
      </c>
    </row>
    <row r="8" customFormat="false" ht="15" hidden="false" customHeight="false" outlineLevel="0" collapsed="false">
      <c r="A8" s="4" t="s">
        <v>122</v>
      </c>
      <c r="B8" s="4" t="s">
        <v>957</v>
      </c>
      <c r="C8" s="4" t="s">
        <v>739</v>
      </c>
      <c r="D8" s="4" t="s">
        <v>967</v>
      </c>
      <c r="E8" s="4" t="s">
        <v>191</v>
      </c>
      <c r="F8" s="4" t="s">
        <v>95</v>
      </c>
      <c r="G8" s="16" t="s">
        <v>106</v>
      </c>
      <c r="H8" s="4" t="s">
        <v>968</v>
      </c>
      <c r="I8" s="4" t="s">
        <v>969</v>
      </c>
      <c r="J8" s="4" t="n">
        <f aca="false">COUNTIF('Test Cases'!$F$5:$F$110,"*"&amp;A8&amp;"*")</f>
        <v>2</v>
      </c>
    </row>
    <row r="9" customFormat="false" ht="15" hidden="false" customHeight="false" outlineLevel="0" collapsed="false">
      <c r="A9" s="4" t="s">
        <v>112</v>
      </c>
      <c r="B9" s="4" t="s">
        <v>957</v>
      </c>
      <c r="C9" s="4" t="s">
        <v>970</v>
      </c>
      <c r="D9" s="4" t="s">
        <v>971</v>
      </c>
      <c r="E9" s="4" t="s">
        <v>106</v>
      </c>
      <c r="F9" s="4" t="s">
        <v>95</v>
      </c>
      <c r="G9" s="14" t="s">
        <v>95</v>
      </c>
      <c r="H9" s="4" t="s">
        <v>972</v>
      </c>
      <c r="I9" s="4" t="s">
        <v>973</v>
      </c>
      <c r="J9" s="4" t="n">
        <f aca="false">COUNTIF('Test Cases'!$F$5:$F$110,"*"&amp;A9&amp;"*")</f>
        <v>2</v>
      </c>
    </row>
    <row r="10" customFormat="false" ht="15" hidden="false" customHeight="false" outlineLevel="0" collapsed="false">
      <c r="A10" s="4" t="s">
        <v>152</v>
      </c>
      <c r="B10" s="4" t="s">
        <v>957</v>
      </c>
      <c r="C10" s="4" t="s">
        <v>71</v>
      </c>
      <c r="D10" s="4" t="s">
        <v>974</v>
      </c>
      <c r="E10" s="4" t="s">
        <v>106</v>
      </c>
      <c r="F10" s="4" t="s">
        <v>106</v>
      </c>
      <c r="G10" s="16" t="s">
        <v>106</v>
      </c>
      <c r="H10" s="4" t="s">
        <v>151</v>
      </c>
      <c r="I10" s="4" t="s">
        <v>975</v>
      </c>
      <c r="J10" s="4" t="n">
        <f aca="false">COUNTIF('Test Cases'!$F$5:$F$110,"*"&amp;A10&amp;"*")</f>
        <v>4</v>
      </c>
    </row>
    <row r="11" customFormat="false" ht="23.85" hidden="false" customHeight="false" outlineLevel="0" collapsed="false">
      <c r="A11" s="4" t="s">
        <v>211</v>
      </c>
      <c r="B11" s="4" t="s">
        <v>976</v>
      </c>
      <c r="C11" s="4" t="s">
        <v>977</v>
      </c>
      <c r="D11" s="4" t="s">
        <v>978</v>
      </c>
      <c r="E11" s="4" t="s">
        <v>106</v>
      </c>
      <c r="F11" s="4" t="s">
        <v>95</v>
      </c>
      <c r="G11" s="14" t="s">
        <v>95</v>
      </c>
      <c r="H11" s="4" t="s">
        <v>979</v>
      </c>
      <c r="I11" s="4" t="s">
        <v>980</v>
      </c>
      <c r="J11" s="4" t="n">
        <f aca="false">COUNTIF('Test Cases'!$F$5:$F$110,"*"&amp;A11&amp;"*")</f>
        <v>9</v>
      </c>
    </row>
    <row r="12" customFormat="false" ht="15" hidden="false" customHeight="false" outlineLevel="0" collapsed="false">
      <c r="A12" s="4" t="s">
        <v>219</v>
      </c>
      <c r="B12" s="4" t="s">
        <v>976</v>
      </c>
      <c r="C12" s="4" t="s">
        <v>963</v>
      </c>
      <c r="D12" s="4" t="s">
        <v>981</v>
      </c>
      <c r="E12" s="4" t="s">
        <v>191</v>
      </c>
      <c r="F12" s="4" t="s">
        <v>95</v>
      </c>
      <c r="G12" s="16" t="s">
        <v>106</v>
      </c>
      <c r="H12" s="4" t="s">
        <v>982</v>
      </c>
      <c r="I12" s="4" t="s">
        <v>983</v>
      </c>
      <c r="J12" s="4" t="n">
        <f aca="false">COUNTIF('Test Cases'!$F$5:$F$110,"*"&amp;A12&amp;"*")</f>
        <v>3</v>
      </c>
    </row>
    <row r="13" customFormat="false" ht="15" hidden="false" customHeight="false" outlineLevel="0" collapsed="false">
      <c r="A13" s="4" t="s">
        <v>239</v>
      </c>
      <c r="B13" s="4" t="s">
        <v>976</v>
      </c>
      <c r="C13" s="4" t="s">
        <v>71</v>
      </c>
      <c r="D13" s="4" t="s">
        <v>984</v>
      </c>
      <c r="E13" s="4" t="s">
        <v>106</v>
      </c>
      <c r="F13" s="4" t="s">
        <v>106</v>
      </c>
      <c r="G13" s="16" t="s">
        <v>106</v>
      </c>
      <c r="H13" s="4" t="s">
        <v>985</v>
      </c>
      <c r="I13" s="4" t="s">
        <v>986</v>
      </c>
      <c r="J13" s="4" t="n">
        <f aca="false">COUNTIF('Test Cases'!$F$5:$F$110,"*"&amp;A13&amp;"*")</f>
        <v>2</v>
      </c>
    </row>
    <row r="14" customFormat="false" ht="15" hidden="false" customHeight="false" outlineLevel="0" collapsed="false">
      <c r="A14" s="4" t="s">
        <v>273</v>
      </c>
      <c r="B14" s="4" t="s">
        <v>987</v>
      </c>
      <c r="C14" s="4" t="s">
        <v>970</v>
      </c>
      <c r="D14" s="4" t="s">
        <v>988</v>
      </c>
      <c r="E14" s="4" t="s">
        <v>106</v>
      </c>
      <c r="F14" s="4" t="s">
        <v>95</v>
      </c>
      <c r="G14" s="14" t="s">
        <v>95</v>
      </c>
      <c r="H14" s="4" t="s">
        <v>989</v>
      </c>
      <c r="I14" s="4" t="s">
        <v>990</v>
      </c>
      <c r="J14" s="4" t="n">
        <f aca="false">COUNTIF('Test Cases'!$F$5:$F$110,"*"&amp;A14&amp;"*")</f>
        <v>5</v>
      </c>
    </row>
    <row r="15" customFormat="false" ht="15" hidden="false" customHeight="false" outlineLevel="0" collapsed="false">
      <c r="A15" s="4" t="s">
        <v>305</v>
      </c>
      <c r="B15" s="4" t="s">
        <v>987</v>
      </c>
      <c r="C15" s="4" t="s">
        <v>970</v>
      </c>
      <c r="D15" s="4" t="s">
        <v>991</v>
      </c>
      <c r="E15" s="4" t="s">
        <v>106</v>
      </c>
      <c r="F15" s="4" t="s">
        <v>95</v>
      </c>
      <c r="G15" s="14" t="s">
        <v>95</v>
      </c>
      <c r="H15" s="4" t="s">
        <v>992</v>
      </c>
      <c r="I15" s="4" t="s">
        <v>993</v>
      </c>
      <c r="J15" s="4" t="n">
        <f aca="false">COUNTIF('Test Cases'!$F$5:$F$110,"*"&amp;A15&amp;"*")</f>
        <v>2</v>
      </c>
    </row>
    <row r="16" customFormat="false" ht="15" hidden="false" customHeight="false" outlineLevel="0" collapsed="false">
      <c r="A16" s="4" t="s">
        <v>329</v>
      </c>
      <c r="B16" s="4" t="s">
        <v>987</v>
      </c>
      <c r="C16" s="4" t="s">
        <v>994</v>
      </c>
      <c r="D16" s="4" t="s">
        <v>995</v>
      </c>
      <c r="E16" s="4" t="s">
        <v>106</v>
      </c>
      <c r="F16" s="4" t="s">
        <v>95</v>
      </c>
      <c r="G16" s="14" t="s">
        <v>95</v>
      </c>
      <c r="H16" s="4" t="s">
        <v>996</v>
      </c>
      <c r="I16" s="4" t="s">
        <v>997</v>
      </c>
      <c r="J16" s="4" t="n">
        <f aca="false">COUNTIF('Test Cases'!$F$5:$F$110,"*"&amp;A16&amp;"*")</f>
        <v>2</v>
      </c>
    </row>
    <row r="17" customFormat="false" ht="15" hidden="false" customHeight="false" outlineLevel="0" collapsed="false">
      <c r="A17" s="4" t="s">
        <v>363</v>
      </c>
      <c r="B17" s="4" t="s">
        <v>987</v>
      </c>
      <c r="C17" s="4" t="s">
        <v>970</v>
      </c>
      <c r="D17" s="4" t="s">
        <v>998</v>
      </c>
      <c r="E17" s="4" t="s">
        <v>106</v>
      </c>
      <c r="F17" s="4" t="s">
        <v>95</v>
      </c>
      <c r="G17" s="14" t="s">
        <v>95</v>
      </c>
      <c r="H17" s="4" t="s">
        <v>362</v>
      </c>
      <c r="I17" s="4" t="s">
        <v>360</v>
      </c>
      <c r="J17" s="4" t="n">
        <f aca="false">COUNTIF('Test Cases'!$F$5:$F$110,"*"&amp;A17&amp;"*")</f>
        <v>1</v>
      </c>
    </row>
    <row r="18" customFormat="false" ht="15" hidden="false" customHeight="false" outlineLevel="0" collapsed="false">
      <c r="A18" s="4" t="s">
        <v>351</v>
      </c>
      <c r="B18" s="4" t="s">
        <v>987</v>
      </c>
      <c r="C18" s="4" t="s">
        <v>71</v>
      </c>
      <c r="D18" s="4" t="s">
        <v>999</v>
      </c>
      <c r="E18" s="4" t="s">
        <v>191</v>
      </c>
      <c r="F18" s="4" t="s">
        <v>106</v>
      </c>
      <c r="G18" s="13" t="s">
        <v>191</v>
      </c>
      <c r="H18" s="4" t="s">
        <v>350</v>
      </c>
      <c r="I18" s="4" t="s">
        <v>348</v>
      </c>
      <c r="J18" s="4" t="n">
        <f aca="false">COUNTIF('Test Cases'!$F$5:$F$110,"*"&amp;A18&amp;"*")</f>
        <v>1</v>
      </c>
    </row>
    <row r="19" customFormat="false" ht="15" hidden="false" customHeight="false" outlineLevel="0" collapsed="false">
      <c r="A19" s="4" t="s">
        <v>315</v>
      </c>
      <c r="B19" s="4" t="s">
        <v>987</v>
      </c>
      <c r="C19" s="4" t="s">
        <v>71</v>
      </c>
      <c r="D19" s="4" t="s">
        <v>1000</v>
      </c>
      <c r="E19" s="4" t="s">
        <v>191</v>
      </c>
      <c r="F19" s="4" t="s">
        <v>191</v>
      </c>
      <c r="G19" s="13" t="s">
        <v>191</v>
      </c>
      <c r="H19" s="4" t="s">
        <v>1001</v>
      </c>
      <c r="I19" s="4" t="s">
        <v>1002</v>
      </c>
      <c r="J19" s="4" t="n">
        <f aca="false">COUNTIF('Test Cases'!$F$5:$F$110,"*"&amp;A19&amp;"*")</f>
        <v>5</v>
      </c>
    </row>
    <row r="20" customFormat="false" ht="23.85" hidden="false" customHeight="false" outlineLevel="0" collapsed="false">
      <c r="A20" s="4" t="s">
        <v>391</v>
      </c>
      <c r="B20" s="4" t="s">
        <v>1003</v>
      </c>
      <c r="C20" s="4" t="s">
        <v>970</v>
      </c>
      <c r="D20" s="4" t="s">
        <v>1004</v>
      </c>
      <c r="E20" s="4" t="s">
        <v>106</v>
      </c>
      <c r="F20" s="4" t="s">
        <v>95</v>
      </c>
      <c r="G20" s="14" t="s">
        <v>95</v>
      </c>
      <c r="H20" s="4" t="s">
        <v>1005</v>
      </c>
      <c r="I20" s="4" t="s">
        <v>1006</v>
      </c>
      <c r="J20" s="4" t="n">
        <f aca="false">COUNTIF('Test Cases'!$F$5:$F$110,"*"&amp;A20&amp;"*")</f>
        <v>5</v>
      </c>
    </row>
    <row r="21" customFormat="false" ht="15" hidden="false" customHeight="false" outlineLevel="0" collapsed="false">
      <c r="A21" s="4" t="s">
        <v>409</v>
      </c>
      <c r="B21" s="4" t="s">
        <v>1003</v>
      </c>
      <c r="C21" s="4" t="s">
        <v>970</v>
      </c>
      <c r="D21" s="4" t="s">
        <v>1007</v>
      </c>
      <c r="E21" s="4" t="s">
        <v>106</v>
      </c>
      <c r="F21" s="4" t="s">
        <v>95</v>
      </c>
      <c r="G21" s="14" t="s">
        <v>95</v>
      </c>
      <c r="H21" s="4" t="s">
        <v>1008</v>
      </c>
      <c r="I21" s="4" t="s">
        <v>1009</v>
      </c>
      <c r="J21" s="4" t="n">
        <f aca="false">COUNTIF('Test Cases'!$F$5:$F$110,"*"&amp;A21&amp;"*")</f>
        <v>2</v>
      </c>
    </row>
    <row r="22" customFormat="false" ht="15" hidden="false" customHeight="false" outlineLevel="0" collapsed="false">
      <c r="A22" s="4" t="s">
        <v>425</v>
      </c>
      <c r="B22" s="4" t="s">
        <v>1003</v>
      </c>
      <c r="C22" s="4" t="s">
        <v>970</v>
      </c>
      <c r="D22" s="4" t="s">
        <v>1010</v>
      </c>
      <c r="E22" s="4" t="s">
        <v>106</v>
      </c>
      <c r="F22" s="4" t="s">
        <v>95</v>
      </c>
      <c r="G22" s="14" t="s">
        <v>95</v>
      </c>
      <c r="H22" s="4" t="s">
        <v>1011</v>
      </c>
      <c r="I22" s="4" t="s">
        <v>1012</v>
      </c>
      <c r="J22" s="4" t="n">
        <f aca="false">COUNTIF('Test Cases'!$F$5:$F$110,"*"&amp;A22&amp;"*")</f>
        <v>4</v>
      </c>
    </row>
    <row r="23" customFormat="false" ht="15" hidden="false" customHeight="false" outlineLevel="0" collapsed="false">
      <c r="A23" s="4" t="s">
        <v>729</v>
      </c>
      <c r="B23" s="4" t="s">
        <v>1003</v>
      </c>
      <c r="C23" s="4" t="s">
        <v>994</v>
      </c>
      <c r="D23" s="4" t="s">
        <v>1013</v>
      </c>
      <c r="E23" s="4" t="s">
        <v>191</v>
      </c>
      <c r="F23" s="4" t="s">
        <v>95</v>
      </c>
      <c r="G23" s="16" t="s">
        <v>106</v>
      </c>
      <c r="H23" s="4" t="s">
        <v>1014</v>
      </c>
      <c r="I23" s="4" t="s">
        <v>1015</v>
      </c>
      <c r="J23" s="4" t="n">
        <f aca="false">COUNTIF('Test Cases'!$F$5:$F$110,"*"&amp;A23&amp;"*")</f>
        <v>3</v>
      </c>
    </row>
    <row r="24" customFormat="false" ht="15" hidden="false" customHeight="false" outlineLevel="0" collapsed="false">
      <c r="A24" s="4" t="s">
        <v>490</v>
      </c>
      <c r="B24" s="4" t="s">
        <v>1016</v>
      </c>
      <c r="C24" s="4" t="s">
        <v>970</v>
      </c>
      <c r="D24" s="4" t="s">
        <v>1017</v>
      </c>
      <c r="E24" s="4" t="s">
        <v>106</v>
      </c>
      <c r="F24" s="4" t="s">
        <v>95</v>
      </c>
      <c r="G24" s="14" t="s">
        <v>95</v>
      </c>
      <c r="H24" s="4" t="s">
        <v>489</v>
      </c>
      <c r="I24" s="4" t="s">
        <v>487</v>
      </c>
      <c r="J24" s="4" t="n">
        <f aca="false">COUNTIF('Test Cases'!$F$5:$F$110,"*"&amp;A24&amp;"*")</f>
        <v>1</v>
      </c>
    </row>
    <row r="25" customFormat="false" ht="15" hidden="false" customHeight="false" outlineLevel="0" collapsed="false">
      <c r="A25" s="4" t="s">
        <v>518</v>
      </c>
      <c r="B25" s="4" t="s">
        <v>1016</v>
      </c>
      <c r="C25" s="4" t="s">
        <v>71</v>
      </c>
      <c r="D25" s="4" t="s">
        <v>1018</v>
      </c>
      <c r="E25" s="4" t="s">
        <v>106</v>
      </c>
      <c r="F25" s="4" t="s">
        <v>106</v>
      </c>
      <c r="G25" s="16" t="s">
        <v>106</v>
      </c>
      <c r="H25" s="4" t="s">
        <v>517</v>
      </c>
      <c r="I25" s="4" t="s">
        <v>515</v>
      </c>
      <c r="J25" s="4" t="n">
        <f aca="false">COUNTIF('Test Cases'!$F$5:$F$110,"*"&amp;A25&amp;"*")</f>
        <v>1</v>
      </c>
    </row>
    <row r="26" customFormat="false" ht="15" hidden="false" customHeight="false" outlineLevel="0" collapsed="false">
      <c r="A26" s="4" t="s">
        <v>500</v>
      </c>
      <c r="B26" s="4" t="s">
        <v>1016</v>
      </c>
      <c r="C26" s="4" t="s">
        <v>970</v>
      </c>
      <c r="D26" s="4" t="s">
        <v>1019</v>
      </c>
      <c r="E26" s="4" t="s">
        <v>191</v>
      </c>
      <c r="F26" s="4" t="s">
        <v>106</v>
      </c>
      <c r="G26" s="13" t="s">
        <v>191</v>
      </c>
      <c r="H26" s="4" t="s">
        <v>1020</v>
      </c>
      <c r="I26" s="4" t="s">
        <v>1021</v>
      </c>
      <c r="J26" s="4" t="n">
        <f aca="false">COUNTIF('Test Cases'!$F$5:$F$110,"*"&amp;A26&amp;"*")</f>
        <v>3</v>
      </c>
    </row>
    <row r="27" customFormat="false" ht="15" hidden="false" customHeight="false" outlineLevel="0" collapsed="false">
      <c r="A27" s="4" t="s">
        <v>479</v>
      </c>
      <c r="B27" s="4" t="s">
        <v>1016</v>
      </c>
      <c r="C27" s="4" t="s">
        <v>71</v>
      </c>
      <c r="D27" s="4" t="s">
        <v>1022</v>
      </c>
      <c r="E27" s="4" t="s">
        <v>191</v>
      </c>
      <c r="F27" s="4" t="s">
        <v>106</v>
      </c>
      <c r="G27" s="13" t="s">
        <v>191</v>
      </c>
      <c r="H27" s="4" t="s">
        <v>534</v>
      </c>
      <c r="I27" s="4" t="s">
        <v>1023</v>
      </c>
      <c r="J27" s="4" t="n">
        <f aca="false">COUNTIF('Test Cases'!$F$5:$F$110,"*"&amp;A27&amp;"*")</f>
        <v>2</v>
      </c>
    </row>
    <row r="28" customFormat="false" ht="23.85" hidden="false" customHeight="false" outlineLevel="0" collapsed="false">
      <c r="A28" s="4" t="s">
        <v>540</v>
      </c>
      <c r="B28" s="4" t="s">
        <v>1024</v>
      </c>
      <c r="C28" s="4" t="s">
        <v>977</v>
      </c>
      <c r="D28" s="4" t="s">
        <v>1025</v>
      </c>
      <c r="E28" s="4" t="s">
        <v>106</v>
      </c>
      <c r="F28" s="4" t="s">
        <v>95</v>
      </c>
      <c r="G28" s="14" t="s">
        <v>95</v>
      </c>
      <c r="H28" s="4" t="s">
        <v>1026</v>
      </c>
      <c r="I28" s="4" t="s">
        <v>1027</v>
      </c>
      <c r="J28" s="4" t="n">
        <f aca="false">COUNTIF('Test Cases'!$F$5:$F$110,"*"&amp;A28&amp;"*")</f>
        <v>7</v>
      </c>
    </row>
    <row r="29" customFormat="false" ht="15" hidden="false" customHeight="false" outlineLevel="0" collapsed="false">
      <c r="A29" s="4" t="s">
        <v>573</v>
      </c>
      <c r="B29" s="4" t="s">
        <v>1024</v>
      </c>
      <c r="C29" s="4" t="s">
        <v>977</v>
      </c>
      <c r="D29" s="4" t="s">
        <v>1028</v>
      </c>
      <c r="E29" s="4" t="s">
        <v>106</v>
      </c>
      <c r="F29" s="4" t="s">
        <v>95</v>
      </c>
      <c r="G29" s="14" t="s">
        <v>95</v>
      </c>
      <c r="H29" s="4" t="s">
        <v>1029</v>
      </c>
      <c r="I29" s="4" t="s">
        <v>1030</v>
      </c>
      <c r="J29" s="4" t="n">
        <f aca="false">COUNTIF('Test Cases'!$F$5:$F$110,"*"&amp;A29&amp;"*")</f>
        <v>2</v>
      </c>
    </row>
    <row r="30" customFormat="false" ht="15" hidden="false" customHeight="false" outlineLevel="0" collapsed="false">
      <c r="A30" s="4" t="s">
        <v>594</v>
      </c>
      <c r="B30" s="4" t="s">
        <v>1024</v>
      </c>
      <c r="C30" s="4" t="s">
        <v>970</v>
      </c>
      <c r="D30" s="4" t="s">
        <v>1031</v>
      </c>
      <c r="E30" s="4" t="s">
        <v>106</v>
      </c>
      <c r="F30" s="4" t="s">
        <v>106</v>
      </c>
      <c r="G30" s="16" t="s">
        <v>106</v>
      </c>
      <c r="H30" s="4" t="s">
        <v>593</v>
      </c>
      <c r="I30" s="4" t="s">
        <v>591</v>
      </c>
      <c r="J30" s="4" t="n">
        <f aca="false">COUNTIF('Test Cases'!$F$5:$F$110,"*"&amp;A30&amp;"*")</f>
        <v>1</v>
      </c>
    </row>
    <row r="31" customFormat="false" ht="15" hidden="false" customHeight="false" outlineLevel="0" collapsed="false">
      <c r="A31" s="4" t="s">
        <v>582</v>
      </c>
      <c r="B31" s="4" t="s">
        <v>1024</v>
      </c>
      <c r="C31" s="4" t="s">
        <v>71</v>
      </c>
      <c r="D31" s="4" t="s">
        <v>1032</v>
      </c>
      <c r="E31" s="4" t="s">
        <v>191</v>
      </c>
      <c r="F31" s="4" t="s">
        <v>106</v>
      </c>
      <c r="G31" s="13" t="s">
        <v>191</v>
      </c>
      <c r="H31" s="4" t="s">
        <v>1033</v>
      </c>
      <c r="I31" s="4" t="s">
        <v>1034</v>
      </c>
      <c r="J31" s="4" t="n">
        <f aca="false">COUNTIF('Test Cases'!$F$5:$F$110,"*"&amp;A31&amp;"*")</f>
        <v>3</v>
      </c>
    </row>
    <row r="32" customFormat="false" ht="15" hidden="false" customHeight="false" outlineLevel="0" collapsed="false">
      <c r="A32" s="4" t="s">
        <v>602</v>
      </c>
      <c r="B32" s="4" t="s">
        <v>1024</v>
      </c>
      <c r="C32" s="4" t="s">
        <v>994</v>
      </c>
      <c r="D32" s="4" t="s">
        <v>1035</v>
      </c>
      <c r="E32" s="4" t="s">
        <v>191</v>
      </c>
      <c r="F32" s="4" t="s">
        <v>106</v>
      </c>
      <c r="G32" s="13" t="s">
        <v>191</v>
      </c>
      <c r="H32" s="4" t="s">
        <v>601</v>
      </c>
      <c r="I32" s="4" t="s">
        <v>599</v>
      </c>
      <c r="J32" s="4" t="n">
        <f aca="false">COUNTIF('Test Cases'!$F$5:$F$110,"*"&amp;A32&amp;"*")</f>
        <v>1</v>
      </c>
    </row>
    <row r="33" customFormat="false" ht="15" hidden="false" customHeight="false" outlineLevel="0" collapsed="false">
      <c r="A33" s="4" t="s">
        <v>641</v>
      </c>
      <c r="B33" s="4" t="s">
        <v>1036</v>
      </c>
      <c r="C33" s="4" t="s">
        <v>977</v>
      </c>
      <c r="D33" s="4" t="s">
        <v>1037</v>
      </c>
      <c r="E33" s="4" t="s">
        <v>106</v>
      </c>
      <c r="F33" s="4" t="s">
        <v>95</v>
      </c>
      <c r="G33" s="14" t="s">
        <v>95</v>
      </c>
      <c r="H33" s="4" t="s">
        <v>1038</v>
      </c>
      <c r="I33" s="4" t="s">
        <v>1039</v>
      </c>
      <c r="J33" s="4" t="n">
        <f aca="false">COUNTIF('Test Cases'!$F$5:$F$110,"*"&amp;A33&amp;"*")</f>
        <v>3</v>
      </c>
    </row>
    <row r="34" customFormat="false" ht="15" hidden="false" customHeight="false" outlineLevel="0" collapsed="false">
      <c r="A34" s="4" t="s">
        <v>342</v>
      </c>
      <c r="B34" s="4" t="s">
        <v>1036</v>
      </c>
      <c r="C34" s="4" t="s">
        <v>970</v>
      </c>
      <c r="D34" s="4" t="s">
        <v>1040</v>
      </c>
      <c r="E34" s="4" t="s">
        <v>106</v>
      </c>
      <c r="F34" s="4" t="s">
        <v>106</v>
      </c>
      <c r="G34" s="16" t="s">
        <v>106</v>
      </c>
      <c r="H34" s="4" t="s">
        <v>1041</v>
      </c>
      <c r="I34" s="4" t="s">
        <v>1042</v>
      </c>
      <c r="J34" s="4" t="n">
        <f aca="false">COUNTIF('Test Cases'!$F$5:$F$110,"*"&amp;A34&amp;"*")</f>
        <v>5</v>
      </c>
    </row>
    <row r="35" customFormat="false" ht="15" hidden="false" customHeight="false" outlineLevel="0" collapsed="false">
      <c r="A35" s="4" t="s">
        <v>667</v>
      </c>
      <c r="B35" s="4" t="s">
        <v>1036</v>
      </c>
      <c r="C35" s="4" t="s">
        <v>71</v>
      </c>
      <c r="D35" s="4" t="s">
        <v>1043</v>
      </c>
      <c r="E35" s="4" t="s">
        <v>106</v>
      </c>
      <c r="F35" s="4" t="s">
        <v>95</v>
      </c>
      <c r="G35" s="14" t="s">
        <v>95</v>
      </c>
      <c r="H35" s="4" t="s">
        <v>666</v>
      </c>
      <c r="I35" s="4" t="s">
        <v>664</v>
      </c>
      <c r="J35" s="4" t="n">
        <f aca="false">COUNTIF('Test Cases'!$F$5:$F$110,"*"&amp;A35&amp;"*")</f>
        <v>1</v>
      </c>
    </row>
    <row r="36" customFormat="false" ht="15" hidden="false" customHeight="false" outlineLevel="0" collapsed="false">
      <c r="A36" s="4" t="s">
        <v>650</v>
      </c>
      <c r="B36" s="4" t="s">
        <v>1036</v>
      </c>
      <c r="C36" s="4" t="s">
        <v>71</v>
      </c>
      <c r="D36" s="4" t="s">
        <v>1044</v>
      </c>
      <c r="E36" s="4" t="s">
        <v>191</v>
      </c>
      <c r="F36" s="4" t="s">
        <v>191</v>
      </c>
      <c r="G36" s="13" t="s">
        <v>191</v>
      </c>
      <c r="H36" s="4" t="s">
        <v>1045</v>
      </c>
      <c r="I36" s="4" t="s">
        <v>1046</v>
      </c>
      <c r="J36" s="4" t="n">
        <f aca="false">COUNTIF('Test Cases'!$F$5:$F$110,"*"&amp;A36&amp;"*")</f>
        <v>2</v>
      </c>
    </row>
    <row r="37" customFormat="false" ht="15" hidden="false" customHeight="false" outlineLevel="0" collapsed="false">
      <c r="A37" s="4" t="s">
        <v>676</v>
      </c>
      <c r="B37" s="4" t="s">
        <v>1047</v>
      </c>
      <c r="C37" s="4" t="s">
        <v>994</v>
      </c>
      <c r="D37" s="4" t="s">
        <v>1048</v>
      </c>
      <c r="E37" s="4" t="s">
        <v>106</v>
      </c>
      <c r="F37" s="4" t="s">
        <v>95</v>
      </c>
      <c r="G37" s="14" t="s">
        <v>95</v>
      </c>
      <c r="H37" s="4" t="s">
        <v>1049</v>
      </c>
      <c r="I37" s="4" t="s">
        <v>1050</v>
      </c>
      <c r="J37" s="4" t="n">
        <f aca="false">COUNTIF('Test Cases'!$F$5:$F$110,"*"&amp;A37&amp;"*")</f>
        <v>4</v>
      </c>
    </row>
    <row r="38" customFormat="false" ht="23.85" hidden="false" customHeight="false" outlineLevel="0" collapsed="false">
      <c r="A38" s="4" t="s">
        <v>692</v>
      </c>
      <c r="B38" s="4" t="s">
        <v>1047</v>
      </c>
      <c r="C38" s="4" t="s">
        <v>963</v>
      </c>
      <c r="D38" s="4" t="s">
        <v>1051</v>
      </c>
      <c r="E38" s="4" t="s">
        <v>191</v>
      </c>
      <c r="F38" s="4" t="s">
        <v>95</v>
      </c>
      <c r="G38" s="16" t="s">
        <v>106</v>
      </c>
      <c r="H38" s="4" t="s">
        <v>1052</v>
      </c>
      <c r="I38" s="4" t="s">
        <v>1053</v>
      </c>
      <c r="J38" s="4" t="n">
        <f aca="false">COUNTIF('Test Cases'!$F$5:$F$110,"*"&amp;A38&amp;"*")</f>
        <v>6</v>
      </c>
    </row>
    <row r="39" customFormat="false" ht="15" hidden="false" customHeight="false" outlineLevel="0" collapsed="false">
      <c r="A39" s="4" t="s">
        <v>1054</v>
      </c>
      <c r="B39" s="4" t="s">
        <v>1047</v>
      </c>
      <c r="C39" s="4" t="s">
        <v>739</v>
      </c>
      <c r="D39" s="4" t="s">
        <v>1055</v>
      </c>
      <c r="E39" s="4" t="s">
        <v>106</v>
      </c>
      <c r="F39" s="4" t="s">
        <v>95</v>
      </c>
      <c r="G39" s="14" t="s">
        <v>95</v>
      </c>
      <c r="H39" s="4" t="s">
        <v>777</v>
      </c>
      <c r="I39" s="4" t="s">
        <v>775</v>
      </c>
      <c r="J39" s="4" t="n">
        <f aca="false">COUNTIF('Test Cases'!$F$5:$F$110,"*"&amp;A39&amp;"*")</f>
        <v>1</v>
      </c>
    </row>
    <row r="40" customFormat="false" ht="15" hidden="false" customHeight="false" outlineLevel="0" collapsed="false">
      <c r="A40" s="4" t="s">
        <v>702</v>
      </c>
      <c r="B40" s="4" t="s">
        <v>1047</v>
      </c>
      <c r="C40" s="4" t="s">
        <v>71</v>
      </c>
      <c r="D40" s="4" t="s">
        <v>1056</v>
      </c>
      <c r="E40" s="4" t="s">
        <v>191</v>
      </c>
      <c r="F40" s="4" t="s">
        <v>106</v>
      </c>
      <c r="G40" s="13" t="s">
        <v>191</v>
      </c>
      <c r="H40" s="4" t="s">
        <v>701</v>
      </c>
      <c r="I40" s="4" t="s">
        <v>699</v>
      </c>
      <c r="J40" s="4" t="n">
        <f aca="false">COUNTIF('Test Cases'!$F$5:$F$110,"*"&amp;A40&amp;"*")</f>
        <v>1</v>
      </c>
    </row>
    <row r="41" customFormat="false" ht="15" hidden="false" customHeight="false" outlineLevel="0" collapsed="false">
      <c r="A41" s="4" t="s">
        <v>738</v>
      </c>
      <c r="B41" s="4" t="s">
        <v>1057</v>
      </c>
      <c r="C41" s="4" t="s">
        <v>970</v>
      </c>
      <c r="D41" s="4" t="s">
        <v>1058</v>
      </c>
      <c r="E41" s="4" t="s">
        <v>106</v>
      </c>
      <c r="F41" s="4" t="s">
        <v>95</v>
      </c>
      <c r="G41" s="14" t="s">
        <v>95</v>
      </c>
      <c r="H41" s="4" t="s">
        <v>823</v>
      </c>
      <c r="I41" s="4" t="s">
        <v>1059</v>
      </c>
      <c r="J41" s="4" t="n">
        <f aca="false">COUNTIF('Test Cases'!$F$5:$F$110,"*"&amp;A41&amp;"*")</f>
        <v>4</v>
      </c>
    </row>
    <row r="42" customFormat="false" ht="15" hidden="false" customHeight="false" outlineLevel="0" collapsed="false">
      <c r="A42" s="4" t="s">
        <v>893</v>
      </c>
      <c r="B42" s="4" t="s">
        <v>1057</v>
      </c>
      <c r="C42" s="4" t="s">
        <v>895</v>
      </c>
      <c r="D42" s="4" t="s">
        <v>1060</v>
      </c>
      <c r="E42" s="4" t="s">
        <v>106</v>
      </c>
      <c r="F42" s="4" t="s">
        <v>106</v>
      </c>
      <c r="G42" s="16" t="s">
        <v>106</v>
      </c>
      <c r="H42" s="4" t="s">
        <v>891</v>
      </c>
      <c r="I42" s="4" t="s">
        <v>889</v>
      </c>
      <c r="J42" s="4" t="n">
        <f aca="false">COUNTIF('Test Cases'!$F$5:$F$110,"*"&amp;A42&amp;"*")</f>
        <v>1</v>
      </c>
    </row>
    <row r="43" customFormat="false" ht="15" hidden="false" customHeight="false" outlineLevel="0" collapsed="false">
      <c r="A43" s="4" t="s">
        <v>905</v>
      </c>
      <c r="B43" s="4" t="s">
        <v>1057</v>
      </c>
      <c r="C43" s="4" t="s">
        <v>1061</v>
      </c>
      <c r="D43" s="4" t="s">
        <v>1062</v>
      </c>
      <c r="E43" s="4" t="s">
        <v>106</v>
      </c>
      <c r="F43" s="4" t="s">
        <v>106</v>
      </c>
      <c r="G43" s="16" t="s">
        <v>106</v>
      </c>
      <c r="H43" s="4" t="s">
        <v>904</v>
      </c>
      <c r="I43" s="4" t="s">
        <v>1063</v>
      </c>
      <c r="J43" s="4" t="n">
        <f aca="false">COUNTIF('Test Cases'!$F$5:$F$110,"*"&amp;A43&amp;"*")</f>
        <v>2</v>
      </c>
    </row>
    <row r="44" customFormat="false" ht="15" hidden="false" customHeight="false" outlineLevel="0" collapsed="false">
      <c r="A44" s="4" t="s">
        <v>912</v>
      </c>
      <c r="B44" s="4" t="s">
        <v>1057</v>
      </c>
      <c r="C44" s="4" t="s">
        <v>1064</v>
      </c>
      <c r="D44" s="4" t="s">
        <v>1065</v>
      </c>
      <c r="E44" s="4" t="s">
        <v>106</v>
      </c>
      <c r="F44" s="4" t="s">
        <v>106</v>
      </c>
      <c r="G44" s="16" t="s">
        <v>106</v>
      </c>
      <c r="H44" s="4" t="s">
        <v>911</v>
      </c>
      <c r="I44" s="4" t="s">
        <v>909</v>
      </c>
      <c r="J44" s="4" t="n">
        <f aca="false">COUNTIF('Test Cases'!$F$5:$F$110,"*"&amp;A44&amp;"*")</f>
        <v>1</v>
      </c>
    </row>
    <row r="45" customFormat="false" ht="23.85" hidden="false" customHeight="false" outlineLevel="0" collapsed="false">
      <c r="A45" s="4" t="s">
        <v>1066</v>
      </c>
      <c r="B45" s="4" t="s">
        <v>1057</v>
      </c>
      <c r="C45" s="4" t="s">
        <v>832</v>
      </c>
      <c r="D45" s="4" t="s">
        <v>1067</v>
      </c>
      <c r="E45" s="4" t="s">
        <v>106</v>
      </c>
      <c r="F45" s="4" t="s">
        <v>106</v>
      </c>
      <c r="G45" s="16" t="s">
        <v>106</v>
      </c>
      <c r="H45" s="4" t="s">
        <v>1068</v>
      </c>
      <c r="I45" s="4" t="s">
        <v>1069</v>
      </c>
      <c r="J45" s="4" t="n">
        <f aca="false">COUNTIF('Test Cases'!$F$5:$F$110,"*"&amp;A45&amp;"*")</f>
        <v>10</v>
      </c>
    </row>
    <row r="47" customFormat="false" ht="15" hidden="false" customHeight="false" outlineLevel="0" collapsed="false">
      <c r="A47" s="9" t="s">
        <v>1070</v>
      </c>
      <c r="D47" s="8" t="n">
        <f aca="false">COUNTIF(J5:J45,0)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52"/>
    <col collapsed="false" customWidth="true" hidden="false" outlineLevel="0" max="4" min="4" style="0" width="20"/>
    <col collapsed="false" customWidth="true" hidden="false" outlineLevel="0" max="5" min="5" style="0" width="60"/>
    <col collapsed="false" customWidth="true" hidden="false" outlineLevel="0" max="6" min="6" style="0" width="11"/>
    <col collapsed="false" customWidth="true" hidden="false" outlineLevel="0" max="7" min="7" style="0" width="22"/>
    <col collapsed="false" customWidth="true" hidden="false" outlineLevel="0" max="8" min="8" style="0" width="16"/>
  </cols>
  <sheetData>
    <row r="1" customFormat="false" ht="17.35" hidden="false" customHeight="false" outlineLevel="0" collapsed="false">
      <c r="A1" s="1" t="s">
        <v>1071</v>
      </c>
    </row>
    <row r="2" customFormat="false" ht="15" hidden="false" customHeight="false" outlineLevel="0" collapsed="false">
      <c r="A2" s="2" t="s">
        <v>1072</v>
      </c>
    </row>
    <row r="4" customFormat="false" ht="31.5" hidden="false" customHeight="true" outlineLevel="0" collapsed="false">
      <c r="A4" s="3" t="s">
        <v>1073</v>
      </c>
      <c r="B4" s="3" t="s">
        <v>2</v>
      </c>
      <c r="C4" s="3" t="s">
        <v>1074</v>
      </c>
      <c r="D4" s="3" t="s">
        <v>1075</v>
      </c>
      <c r="E4" s="3" t="s">
        <v>955</v>
      </c>
      <c r="F4" s="3" t="s">
        <v>956</v>
      </c>
      <c r="G4" s="3" t="s">
        <v>1076</v>
      </c>
      <c r="H4" s="3" t="s">
        <v>1077</v>
      </c>
    </row>
    <row r="5" customFormat="false" ht="15" hidden="false" customHeight="false" outlineLevel="0" collapsed="false">
      <c r="A5" s="4" t="s">
        <v>1078</v>
      </c>
      <c r="B5" s="4" t="s">
        <v>957</v>
      </c>
      <c r="C5" s="4" t="s">
        <v>958</v>
      </c>
      <c r="D5" s="11" t="s">
        <v>69</v>
      </c>
      <c r="E5" s="4" t="s">
        <v>63</v>
      </c>
      <c r="F5" s="4" t="n">
        <f aca="false">COUNTIF('Test Cases'!$G$5:$G$110,"*"&amp;A5&amp;"*")</f>
        <v>1</v>
      </c>
      <c r="G5" s="11" t="s">
        <v>1079</v>
      </c>
      <c r="H5" s="11"/>
    </row>
    <row r="6" customFormat="false" ht="15" hidden="false" customHeight="false" outlineLevel="0" collapsed="false">
      <c r="A6" s="4" t="s">
        <v>1080</v>
      </c>
      <c r="B6" s="4" t="s">
        <v>957</v>
      </c>
      <c r="C6" s="4" t="s">
        <v>1081</v>
      </c>
      <c r="D6" s="11" t="s">
        <v>89</v>
      </c>
      <c r="E6" s="4" t="s">
        <v>1082</v>
      </c>
      <c r="F6" s="4" t="n">
        <f aca="false">COUNTIF('Test Cases'!$G$5:$G$110,"*"&amp;A6&amp;"*")</f>
        <v>3</v>
      </c>
      <c r="G6" s="11" t="s">
        <v>1083</v>
      </c>
      <c r="H6" s="11" t="s">
        <v>98</v>
      </c>
    </row>
    <row r="7" customFormat="false" ht="15" hidden="false" customHeight="false" outlineLevel="0" collapsed="false">
      <c r="A7" s="4" t="s">
        <v>1084</v>
      </c>
      <c r="B7" s="4" t="s">
        <v>957</v>
      </c>
      <c r="C7" s="4" t="s">
        <v>1085</v>
      </c>
      <c r="D7" s="11"/>
      <c r="E7" s="4" t="s">
        <v>1086</v>
      </c>
      <c r="F7" s="4" t="n">
        <f aca="false">COUNTIF('Test Cases'!$G$5:$G$110,"*"&amp;A7&amp;"*")</f>
        <v>2</v>
      </c>
      <c r="G7" s="11" t="s">
        <v>1083</v>
      </c>
      <c r="H7" s="11"/>
    </row>
    <row r="8" customFormat="false" ht="15" hidden="false" customHeight="false" outlineLevel="0" collapsed="false">
      <c r="A8" s="4" t="s">
        <v>1087</v>
      </c>
      <c r="B8" s="4" t="s">
        <v>987</v>
      </c>
      <c r="C8" s="4" t="s">
        <v>1088</v>
      </c>
      <c r="D8" s="11" t="s">
        <v>291</v>
      </c>
      <c r="E8" s="4" t="s">
        <v>1089</v>
      </c>
      <c r="F8" s="4" t="n">
        <f aca="false">COUNTIF('Test Cases'!$G$5:$G$110,"*"&amp;A8&amp;"*")</f>
        <v>2</v>
      </c>
      <c r="G8" s="11" t="s">
        <v>1083</v>
      </c>
      <c r="H8" s="11"/>
    </row>
    <row r="9" customFormat="false" ht="15" hidden="false" customHeight="false" outlineLevel="0" collapsed="false">
      <c r="A9" s="4" t="s">
        <v>1090</v>
      </c>
      <c r="B9" s="4" t="s">
        <v>987</v>
      </c>
      <c r="C9" s="4" t="s">
        <v>991</v>
      </c>
      <c r="D9" s="11" t="s">
        <v>307</v>
      </c>
      <c r="E9" s="4" t="s">
        <v>1091</v>
      </c>
      <c r="F9" s="4" t="n">
        <f aca="false">COUNTIF('Test Cases'!$G$5:$G$110,"*"&amp;A9&amp;"*")</f>
        <v>3</v>
      </c>
      <c r="G9" s="11" t="s">
        <v>1083</v>
      </c>
      <c r="H9" s="11"/>
    </row>
    <row r="10" customFormat="false" ht="15" hidden="false" customHeight="false" outlineLevel="0" collapsed="false">
      <c r="A10" s="4" t="s">
        <v>1092</v>
      </c>
      <c r="B10" s="4" t="s">
        <v>1036</v>
      </c>
      <c r="C10" s="4" t="s">
        <v>1093</v>
      </c>
      <c r="D10" s="11" t="s">
        <v>643</v>
      </c>
      <c r="E10" s="4" t="s">
        <v>1094</v>
      </c>
      <c r="F10" s="4" t="n">
        <f aca="false">COUNTIF('Test Cases'!$G$5:$G$110,"*"&amp;A10&amp;"*")</f>
        <v>2</v>
      </c>
      <c r="G10" s="11" t="s">
        <v>1083</v>
      </c>
      <c r="H10" s="11"/>
    </row>
    <row r="11" customFormat="false" ht="15" hidden="false" customHeight="false" outlineLevel="0" collapsed="false">
      <c r="A11" s="4" t="s">
        <v>1095</v>
      </c>
      <c r="B11" s="4" t="s">
        <v>987</v>
      </c>
      <c r="C11" s="4" t="s">
        <v>1096</v>
      </c>
      <c r="D11" s="11" t="s">
        <v>331</v>
      </c>
      <c r="E11" s="4" t="s">
        <v>326</v>
      </c>
      <c r="F11" s="4" t="n">
        <f aca="false">COUNTIF('Test Cases'!$G$5:$G$110,"*"&amp;A11&amp;"*")</f>
        <v>1</v>
      </c>
      <c r="G11" s="11" t="s">
        <v>1083</v>
      </c>
      <c r="H11" s="11" t="s">
        <v>338</v>
      </c>
    </row>
    <row r="12" customFormat="false" ht="15" hidden="false" customHeight="false" outlineLevel="0" collapsed="false">
      <c r="A12" s="4" t="s">
        <v>1097</v>
      </c>
      <c r="B12" s="4" t="s">
        <v>987</v>
      </c>
      <c r="C12" s="4" t="s">
        <v>998</v>
      </c>
      <c r="D12" s="11" t="s">
        <v>365</v>
      </c>
      <c r="E12" s="4" t="s">
        <v>360</v>
      </c>
      <c r="F12" s="4" t="n">
        <f aca="false">COUNTIF('Test Cases'!$G$5:$G$110,"*"&amp;A12&amp;"*")</f>
        <v>1</v>
      </c>
      <c r="G12" s="11" t="s">
        <v>1083</v>
      </c>
      <c r="H12" s="11"/>
    </row>
    <row r="13" customFormat="false" ht="15" hidden="false" customHeight="false" outlineLevel="0" collapsed="false">
      <c r="A13" s="4" t="s">
        <v>1098</v>
      </c>
      <c r="B13" s="4" t="s">
        <v>1003</v>
      </c>
      <c r="C13" s="4" t="s">
        <v>1099</v>
      </c>
      <c r="D13" s="11"/>
      <c r="E13" s="4" t="s">
        <v>1100</v>
      </c>
      <c r="F13" s="4" t="n">
        <f aca="false">COUNTIF('Test Cases'!$G$5:$G$110,"*"&amp;A13&amp;"*")</f>
        <v>2</v>
      </c>
      <c r="G13" s="11" t="s">
        <v>1083</v>
      </c>
      <c r="H13" s="11"/>
    </row>
    <row r="14" customFormat="false" ht="15" hidden="false" customHeight="false" outlineLevel="0" collapsed="false">
      <c r="A14" s="4" t="s">
        <v>1101</v>
      </c>
      <c r="B14" s="4" t="s">
        <v>1016</v>
      </c>
      <c r="C14" s="4" t="s">
        <v>1017</v>
      </c>
      <c r="D14" s="11" t="s">
        <v>492</v>
      </c>
      <c r="E14" s="4" t="s">
        <v>487</v>
      </c>
      <c r="F14" s="4" t="n">
        <f aca="false">COUNTIF('Test Cases'!$G$5:$G$110,"*"&amp;A14&amp;"*")</f>
        <v>1</v>
      </c>
      <c r="G14" s="11" t="s">
        <v>1083</v>
      </c>
      <c r="H14" s="11"/>
    </row>
    <row r="15" customFormat="false" ht="15" hidden="false" customHeight="false" outlineLevel="0" collapsed="false">
      <c r="A15" s="4" t="s">
        <v>1102</v>
      </c>
      <c r="B15" s="4" t="s">
        <v>1016</v>
      </c>
      <c r="C15" s="4" t="s">
        <v>1103</v>
      </c>
      <c r="D15" s="11"/>
      <c r="E15" s="4" t="s">
        <v>515</v>
      </c>
      <c r="F15" s="4" t="n">
        <f aca="false">COUNTIF('Test Cases'!$G$5:$G$110,"*"&amp;A15&amp;"*")</f>
        <v>1</v>
      </c>
      <c r="G15" s="11" t="s">
        <v>1083</v>
      </c>
      <c r="H15" s="11"/>
    </row>
    <row r="16" customFormat="false" ht="15" hidden="false" customHeight="false" outlineLevel="0" collapsed="false">
      <c r="A16" s="4" t="s">
        <v>1104</v>
      </c>
      <c r="B16" s="4" t="s">
        <v>1003</v>
      </c>
      <c r="C16" s="4" t="s">
        <v>1105</v>
      </c>
      <c r="D16" s="11" t="s">
        <v>427</v>
      </c>
      <c r="E16" s="4" t="s">
        <v>1106</v>
      </c>
      <c r="F16" s="4" t="n">
        <f aca="false">COUNTIF('Test Cases'!$G$5:$G$110,"*"&amp;A16&amp;"*")</f>
        <v>3</v>
      </c>
      <c r="G16" s="11" t="s">
        <v>1083</v>
      </c>
      <c r="H16" s="11"/>
    </row>
    <row r="17" customFormat="false" ht="15" hidden="false" customHeight="false" outlineLevel="0" collapsed="false">
      <c r="A17" s="4" t="s">
        <v>1107</v>
      </c>
      <c r="B17" s="4" t="s">
        <v>1024</v>
      </c>
      <c r="C17" s="4" t="s">
        <v>1108</v>
      </c>
      <c r="D17" s="11" t="s">
        <v>551</v>
      </c>
      <c r="E17" s="4" t="s">
        <v>1109</v>
      </c>
      <c r="F17" s="4" t="n">
        <f aca="false">COUNTIF('Test Cases'!$G$5:$G$110,"*"&amp;A17&amp;"*")</f>
        <v>3</v>
      </c>
      <c r="G17" s="11" t="s">
        <v>1083</v>
      </c>
      <c r="H17" s="11"/>
    </row>
    <row r="18" customFormat="false" ht="15" hidden="false" customHeight="false" outlineLevel="0" collapsed="false">
      <c r="A18" s="4" t="s">
        <v>1110</v>
      </c>
      <c r="B18" s="4" t="s">
        <v>1024</v>
      </c>
      <c r="C18" s="4" t="s">
        <v>1111</v>
      </c>
      <c r="D18" s="11" t="s">
        <v>575</v>
      </c>
      <c r="E18" s="4" t="s">
        <v>570</v>
      </c>
      <c r="F18" s="4" t="n">
        <f aca="false">COUNTIF('Test Cases'!$G$5:$G$110,"*"&amp;A18&amp;"*")</f>
        <v>1</v>
      </c>
      <c r="G18" s="11" t="s">
        <v>1083</v>
      </c>
      <c r="H18" s="11"/>
    </row>
    <row r="19" customFormat="false" ht="15" hidden="false" customHeight="false" outlineLevel="0" collapsed="false">
      <c r="A19" s="4" t="s">
        <v>1112</v>
      </c>
      <c r="B19" s="4" t="s">
        <v>1024</v>
      </c>
      <c r="C19" s="4" t="s">
        <v>1113</v>
      </c>
      <c r="D19" s="11" t="s">
        <v>596</v>
      </c>
      <c r="E19" s="4" t="s">
        <v>591</v>
      </c>
      <c r="F19" s="4" t="n">
        <f aca="false">COUNTIF('Test Cases'!$G$5:$G$110,"*"&amp;A19&amp;"*")</f>
        <v>1</v>
      </c>
      <c r="G19" s="11" t="s">
        <v>1083</v>
      </c>
      <c r="H19" s="11"/>
    </row>
    <row r="20" customFormat="false" ht="15" hidden="false" customHeight="false" outlineLevel="0" collapsed="false">
      <c r="A20" s="4" t="s">
        <v>1114</v>
      </c>
      <c r="B20" s="4" t="s">
        <v>1047</v>
      </c>
      <c r="C20" s="4" t="s">
        <v>1115</v>
      </c>
      <c r="D20" s="11" t="s">
        <v>241</v>
      </c>
      <c r="E20" s="4" t="s">
        <v>1116</v>
      </c>
      <c r="F20" s="4" t="n">
        <f aca="false">COUNTIF('Test Cases'!$G$5:$G$110,"*"&amp;A20&amp;"*")</f>
        <v>4</v>
      </c>
      <c r="G20" s="11" t="s">
        <v>1083</v>
      </c>
      <c r="H20" s="11"/>
    </row>
    <row r="21" customFormat="false" ht="15" hidden="false" customHeight="false" outlineLevel="0" collapsed="false">
      <c r="A21" s="4" t="s">
        <v>1117</v>
      </c>
      <c r="B21" s="4" t="s">
        <v>1036</v>
      </c>
      <c r="C21" s="4" t="s">
        <v>1118</v>
      </c>
      <c r="D21" s="11" t="s">
        <v>669</v>
      </c>
      <c r="E21" s="4" t="s">
        <v>664</v>
      </c>
      <c r="F21" s="4" t="n">
        <f aca="false">COUNTIF('Test Cases'!$G$5:$G$110,"*"&amp;A21&amp;"*")</f>
        <v>1</v>
      </c>
      <c r="G21" s="11" t="s">
        <v>1083</v>
      </c>
      <c r="H21" s="11" t="s">
        <v>663</v>
      </c>
    </row>
    <row r="22" customFormat="false" ht="15" hidden="false" customHeight="false" outlineLevel="0" collapsed="false">
      <c r="A22" s="4" t="s">
        <v>1119</v>
      </c>
      <c r="B22" s="4" t="s">
        <v>976</v>
      </c>
      <c r="C22" s="4" t="s">
        <v>978</v>
      </c>
      <c r="D22" s="11" t="s">
        <v>257</v>
      </c>
      <c r="E22" s="4" t="s">
        <v>1120</v>
      </c>
      <c r="F22" s="4" t="n">
        <f aca="false">COUNTIF('Test Cases'!$G$5:$G$110,"*"&amp;A22&amp;"*")</f>
        <v>4</v>
      </c>
      <c r="G22" s="11" t="s">
        <v>1083</v>
      </c>
      <c r="H22" s="11"/>
    </row>
    <row r="23" customFormat="false" ht="15" hidden="false" customHeight="false" outlineLevel="0" collapsed="false">
      <c r="A23" s="4" t="s">
        <v>1121</v>
      </c>
      <c r="B23" s="4" t="s">
        <v>1057</v>
      </c>
      <c r="C23" s="4" t="s">
        <v>1058</v>
      </c>
      <c r="D23" s="11" t="s">
        <v>793</v>
      </c>
      <c r="E23" s="4" t="s">
        <v>1122</v>
      </c>
      <c r="F23" s="4" t="n">
        <f aca="false">COUNTIF('Test Cases'!$G$5:$G$110,"*"&amp;A23&amp;"*")</f>
        <v>4</v>
      </c>
      <c r="G23" s="11" t="s">
        <v>1083</v>
      </c>
      <c r="H23" s="11" t="s">
        <v>1123</v>
      </c>
    </row>
    <row r="24" customFormat="false" ht="15" hidden="false" customHeight="false" outlineLevel="0" collapsed="false">
      <c r="A24" s="4" t="s">
        <v>1124</v>
      </c>
      <c r="B24" s="4" t="s">
        <v>1057</v>
      </c>
      <c r="C24" s="4" t="s">
        <v>1125</v>
      </c>
      <c r="D24" s="11"/>
      <c r="E24" s="4" t="s">
        <v>889</v>
      </c>
      <c r="F24" s="4" t="n">
        <f aca="false">COUNTIF('Test Cases'!$G$5:$G$110,"*"&amp;A24&amp;"*")</f>
        <v>1</v>
      </c>
      <c r="G24" s="11" t="s">
        <v>1083</v>
      </c>
      <c r="H24" s="11"/>
    </row>
    <row r="26" customFormat="false" ht="15" hidden="false" customHeight="false" outlineLevel="0" collapsed="false">
      <c r="A26" s="9" t="s">
        <v>1126</v>
      </c>
      <c r="C26" s="7" t="n">
        <f aca="false">IF(COUNTIF(G5:G24,"Detected")+COUNTIF(G5:G24,"Not detected")=0,"n/a",COUNTIF(G5:G24,"Detected")/(COUNTIF(G5:G24,"Detected")+COUNTIF(G5:G24,"Not detected")))</f>
        <v>0</v>
      </c>
    </row>
  </sheetData>
  <dataValidations count="1">
    <dataValidation allowBlank="true" errorStyle="stop" operator="between" showDropDown="false" showErrorMessage="false" showInputMessage="false" sqref="G5:G24" type="list">
      <formula1>"Detected,Not detected,Not run"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7"/>
    <col collapsed="false" customWidth="true" hidden="false" outlineLevel="0" max="3" min="3" style="0" width="26"/>
    <col collapsed="false" customWidth="true" hidden="false" outlineLevel="0" max="4" min="4" style="0" width="40"/>
    <col collapsed="false" customWidth="true" hidden="false" outlineLevel="0" max="7" min="5" style="0" width="8"/>
    <col collapsed="false" customWidth="true" hidden="false" outlineLevel="0" max="8" min="8" style="0" width="9"/>
    <col collapsed="false" customWidth="true" hidden="false" outlineLevel="0" max="9" min="9" style="0" width="10"/>
    <col collapsed="false" customWidth="true" hidden="false" outlineLevel="0" max="10" min="10" style="0" width="12"/>
    <col collapsed="false" customWidth="true" hidden="false" outlineLevel="0" max="11" min="11" style="0" width="70"/>
    <col collapsed="false" customWidth="true" hidden="false" outlineLevel="0" max="13" min="12" style="0" width="14"/>
  </cols>
  <sheetData>
    <row r="1" customFormat="false" ht="17.35" hidden="false" customHeight="false" outlineLevel="0" collapsed="false">
      <c r="A1" s="1" t="s">
        <v>1127</v>
      </c>
    </row>
    <row r="2" customFormat="false" ht="15" hidden="false" customHeight="false" outlineLevel="0" collapsed="false">
      <c r="A2" s="2" t="s">
        <v>1128</v>
      </c>
    </row>
    <row r="4" customFormat="false" ht="31.5" hidden="false" customHeight="true" outlineLevel="0" collapsed="false">
      <c r="A4" s="3" t="s">
        <v>1129</v>
      </c>
      <c r="B4" s="3" t="s">
        <v>1130</v>
      </c>
      <c r="C4" s="3" t="s">
        <v>1131</v>
      </c>
      <c r="D4" s="3" t="s">
        <v>1132</v>
      </c>
      <c r="E4" s="3" t="s">
        <v>3</v>
      </c>
      <c r="F4" s="3" t="s">
        <v>83</v>
      </c>
      <c r="G4" s="3" t="s">
        <v>279</v>
      </c>
      <c r="H4" s="3" t="s">
        <v>1133</v>
      </c>
      <c r="I4" s="3" t="s">
        <v>1134</v>
      </c>
      <c r="J4" s="3" t="s">
        <v>1135</v>
      </c>
      <c r="K4" s="3" t="s">
        <v>29</v>
      </c>
      <c r="L4" s="3" t="s">
        <v>1136</v>
      </c>
      <c r="M4" s="3" t="s">
        <v>1137</v>
      </c>
    </row>
    <row r="5" customFormat="false" ht="23.85" hidden="false" customHeight="false" outlineLevel="0" collapsed="false">
      <c r="A5" s="4" t="s">
        <v>1138</v>
      </c>
      <c r="B5" s="4" t="s">
        <v>1139</v>
      </c>
      <c r="C5" s="4" t="s">
        <v>1140</v>
      </c>
      <c r="D5" s="4" t="s">
        <v>1141</v>
      </c>
      <c r="E5" s="11" t="n">
        <v>15</v>
      </c>
      <c r="F5" s="11" t="n">
        <v>5</v>
      </c>
      <c r="G5" s="11" t="n">
        <v>10</v>
      </c>
      <c r="H5" s="11" t="n">
        <v>0</v>
      </c>
      <c r="I5" s="17" t="n">
        <f aca="false">IF(E5=0,"n/a",F5/E5)</f>
        <v>0.333333333333333</v>
      </c>
      <c r="J5" s="4" t="n">
        <v>3.6</v>
      </c>
      <c r="K5" s="4" t="s">
        <v>1142</v>
      </c>
      <c r="L5" s="4" t="n">
        <f aca="false">COUNTIF('Test Cases'!$AB$5:$AB$110,"Passed")</f>
        <v>5</v>
      </c>
      <c r="M5" s="4" t="n">
        <f aca="false">COUNTIF('Test Cases'!$AB$5:$AB$110,"Failed")</f>
        <v>10</v>
      </c>
    </row>
    <row r="6" customFormat="false" ht="35.05" hidden="false" customHeight="false" outlineLevel="0" collapsed="false">
      <c r="A6" s="4" t="s">
        <v>1143</v>
      </c>
      <c r="B6" s="4" t="s">
        <v>1144</v>
      </c>
      <c r="C6" s="4" t="s">
        <v>1145</v>
      </c>
      <c r="D6" s="4" t="s">
        <v>1146</v>
      </c>
      <c r="E6" s="11" t="n">
        <v>96</v>
      </c>
      <c r="F6" s="11" t="n">
        <v>10</v>
      </c>
      <c r="G6" s="11" t="n">
        <v>73</v>
      </c>
      <c r="H6" s="11" t="n">
        <v>13</v>
      </c>
      <c r="I6" s="17" t="n">
        <f aca="false">IF(E6=0,"n/a",F6/E6)</f>
        <v>0.104166666666667</v>
      </c>
      <c r="J6" s="4" t="n">
        <v>14.1</v>
      </c>
      <c r="K6" s="4" t="s">
        <v>1147</v>
      </c>
      <c r="L6" s="4" t="n">
        <f aca="false">COUNTIF('Test Cases'!$AC$5:$AC$110,"Passed")</f>
        <v>10</v>
      </c>
      <c r="M6" s="4" t="n">
        <f aca="false">COUNTIF('Test Cases'!$AC$5:$AC$110,"Failed")</f>
        <v>17</v>
      </c>
    </row>
    <row r="7" customFormat="false" ht="35.05" hidden="false" customHeight="false" outlineLevel="0" collapsed="false">
      <c r="A7" s="4" t="s">
        <v>1148</v>
      </c>
      <c r="B7" s="4" t="s">
        <v>1149</v>
      </c>
      <c r="C7" s="4" t="s">
        <v>1140</v>
      </c>
      <c r="D7" s="4" t="s">
        <v>1150</v>
      </c>
      <c r="E7" s="11" t="n">
        <v>15</v>
      </c>
      <c r="F7" s="11" t="n">
        <v>7</v>
      </c>
      <c r="G7" s="11" t="n">
        <v>8</v>
      </c>
      <c r="H7" s="11" t="n">
        <v>0</v>
      </c>
      <c r="I7" s="17" t="n">
        <f aca="false">IF(E7=0,"n/a",F7/E7)</f>
        <v>0.466666666666667</v>
      </c>
      <c r="J7" s="4" t="n">
        <v>3.7</v>
      </c>
      <c r="K7" s="4" t="s">
        <v>1151</v>
      </c>
      <c r="L7" s="4" t="n">
        <f aca="false">COUNTIF('Test Cases'!$AD$5:$AD$110,"Passed")</f>
        <v>7</v>
      </c>
      <c r="M7" s="4" t="n">
        <f aca="false">COUNTIF('Test Cases'!$AD$5:$AD$110,"Failed")</f>
        <v>8</v>
      </c>
    </row>
    <row r="9" customFormat="false" ht="15" hidden="false" customHeight="false" outlineLevel="0" collapsed="false">
      <c r="A9" s="9" t="s">
        <v>1152</v>
      </c>
    </row>
    <row r="10" customFormat="false" ht="31.5" hidden="false" customHeight="true" outlineLevel="0" collapsed="false">
      <c r="A10" s="3" t="s">
        <v>1153</v>
      </c>
      <c r="B10" s="3" t="s">
        <v>1154</v>
      </c>
      <c r="C10" s="3" t="s">
        <v>1155</v>
      </c>
    </row>
    <row r="11" customFormat="false" ht="35.05" hidden="false" customHeight="false" outlineLevel="0" collapsed="false">
      <c r="A11" s="4" t="s">
        <v>1156</v>
      </c>
      <c r="B11" s="4" t="n">
        <f aca="false">COUNTIF('Defect Log'!$B$5:$B$19,A11)</f>
        <v>6</v>
      </c>
      <c r="C11" s="4" t="s">
        <v>1157</v>
      </c>
    </row>
    <row r="12" customFormat="false" ht="23.85" hidden="false" customHeight="false" outlineLevel="0" collapsed="false">
      <c r="A12" s="4" t="s">
        <v>1158</v>
      </c>
      <c r="B12" s="4" t="n">
        <f aca="false">COUNTIF('Defect Log'!$B$5:$B$19,A12)</f>
        <v>3</v>
      </c>
      <c r="C12" s="4" t="s">
        <v>1159</v>
      </c>
    </row>
    <row r="13" customFormat="false" ht="23.85" hidden="false" customHeight="false" outlineLevel="0" collapsed="false">
      <c r="A13" s="4" t="s">
        <v>1160</v>
      </c>
      <c r="B13" s="4" t="n">
        <f aca="false">COUNTIF('Defect Log'!$B$5:$B$19,A13)</f>
        <v>2</v>
      </c>
      <c r="C13" s="4" t="s">
        <v>1161</v>
      </c>
    </row>
    <row r="14" customFormat="false" ht="46.25" hidden="false" customHeight="false" outlineLevel="0" collapsed="false">
      <c r="A14" s="4" t="s">
        <v>1162</v>
      </c>
      <c r="B14" s="4" t="n">
        <f aca="false">COUNTIF('Defect Log'!$B$5:$B$19,A14)</f>
        <v>2</v>
      </c>
      <c r="C14" s="4" t="s">
        <v>1163</v>
      </c>
    </row>
    <row r="15" customFormat="false" ht="23.85" hidden="false" customHeight="false" outlineLevel="0" collapsed="false">
      <c r="A15" s="4" t="s">
        <v>1164</v>
      </c>
      <c r="B15" s="4" t="n">
        <f aca="false">COUNTIF('Defect Log'!$B$5:$B$19,A15)</f>
        <v>2</v>
      </c>
      <c r="C15" s="4" t="s">
        <v>1165</v>
      </c>
    </row>
    <row r="16" customFormat="false" ht="46.25" hidden="false" customHeight="false" outlineLevel="0" collapsed="false">
      <c r="A16" s="4" t="s">
        <v>1166</v>
      </c>
      <c r="B16" s="4" t="n">
        <f aca="false">COUNTIFS('Defect Log'!$B$5:$B$19,"Application defect*",'Defect Log'!$K$5:$K$19,"Confirmed*")</f>
        <v>0</v>
      </c>
      <c r="C16" s="4" t="s">
        <v>1167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N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22"/>
    <col collapsed="false" customWidth="true" hidden="false" outlineLevel="0" max="4" min="4" style="0" width="46"/>
    <col collapsed="false" customWidth="true" hidden="false" outlineLevel="0" max="5" min="5" style="0" width="34"/>
    <col collapsed="false" customWidth="true" hidden="false" outlineLevel="0" max="6" min="6" style="0" width="14"/>
    <col collapsed="false" customWidth="true" hidden="false" outlineLevel="0" max="7" min="7" style="0" width="52"/>
    <col collapsed="false" customWidth="true" hidden="false" outlineLevel="0" max="8" min="8" style="0" width="60"/>
    <col collapsed="false" customWidth="true" hidden="false" outlineLevel="0" max="9" min="9" style="0" width="10"/>
    <col collapsed="false" customWidth="true" hidden="false" outlineLevel="0" max="10" min="10" style="0" width="9"/>
    <col collapsed="false" customWidth="true" hidden="false" outlineLevel="0" max="11" min="11" style="0" width="28"/>
    <col collapsed="false" customWidth="true" hidden="false" outlineLevel="0" max="12" min="12" style="0" width="44"/>
    <col collapsed="false" customWidth="true" hidden="false" outlineLevel="0" max="13" min="13" style="0" width="24"/>
    <col collapsed="false" customWidth="true" hidden="false" outlineLevel="0" max="14" min="14" style="0" width="14"/>
  </cols>
  <sheetData>
    <row r="1" customFormat="false" ht="17.35" hidden="false" customHeight="false" outlineLevel="0" collapsed="false">
      <c r="A1" s="1" t="s">
        <v>1168</v>
      </c>
    </row>
    <row r="2" customFormat="false" ht="15" hidden="false" customHeight="false" outlineLevel="0" collapsed="false">
      <c r="A2" s="2" t="s">
        <v>1169</v>
      </c>
    </row>
    <row r="4" customFormat="false" ht="31.5" hidden="false" customHeight="true" outlineLevel="0" collapsed="false">
      <c r="A4" s="3" t="s">
        <v>1170</v>
      </c>
      <c r="B4" s="3" t="s">
        <v>1153</v>
      </c>
      <c r="C4" s="3" t="s">
        <v>2</v>
      </c>
      <c r="D4" s="3" t="s">
        <v>35</v>
      </c>
      <c r="E4" s="3" t="s">
        <v>1171</v>
      </c>
      <c r="F4" s="3" t="s">
        <v>1172</v>
      </c>
      <c r="G4" s="3" t="s">
        <v>1173</v>
      </c>
      <c r="H4" s="3" t="s">
        <v>1174</v>
      </c>
      <c r="I4" s="3" t="s">
        <v>47</v>
      </c>
      <c r="J4" s="3" t="s">
        <v>1175</v>
      </c>
      <c r="K4" s="3" t="s">
        <v>1176</v>
      </c>
      <c r="L4" s="3" t="s">
        <v>1177</v>
      </c>
      <c r="M4" s="3" t="s">
        <v>1178</v>
      </c>
      <c r="N4" s="3" t="s">
        <v>1179</v>
      </c>
    </row>
    <row r="5" customFormat="false" ht="35.05" hidden="false" customHeight="false" outlineLevel="0" collapsed="false">
      <c r="A5" s="4" t="s">
        <v>1180</v>
      </c>
      <c r="B5" s="4" t="s">
        <v>1156</v>
      </c>
      <c r="C5" s="4" t="s">
        <v>1181</v>
      </c>
      <c r="D5" s="4" t="s">
        <v>1182</v>
      </c>
      <c r="E5" s="4" t="s">
        <v>1183</v>
      </c>
      <c r="F5" s="4"/>
      <c r="G5" s="4" t="s">
        <v>1184</v>
      </c>
      <c r="H5" s="4" t="s">
        <v>1185</v>
      </c>
      <c r="I5" s="14" t="s">
        <v>95</v>
      </c>
      <c r="J5" s="4" t="s">
        <v>77</v>
      </c>
      <c r="K5" s="4" t="s">
        <v>1186</v>
      </c>
      <c r="L5" s="4" t="s">
        <v>1187</v>
      </c>
      <c r="M5" s="11"/>
      <c r="N5" s="11"/>
    </row>
    <row r="6" customFormat="false" ht="57.45" hidden="false" customHeight="false" outlineLevel="0" collapsed="false">
      <c r="A6" s="4" t="s">
        <v>1188</v>
      </c>
      <c r="B6" s="4" t="s">
        <v>1156</v>
      </c>
      <c r="C6" s="4" t="s">
        <v>1189</v>
      </c>
      <c r="D6" s="4" t="s">
        <v>1190</v>
      </c>
      <c r="E6" s="4" t="s">
        <v>1191</v>
      </c>
      <c r="F6" s="4"/>
      <c r="G6" s="4" t="s">
        <v>1192</v>
      </c>
      <c r="H6" s="4" t="s">
        <v>1193</v>
      </c>
      <c r="I6" s="14" t="s">
        <v>95</v>
      </c>
      <c r="J6" s="4" t="s">
        <v>77</v>
      </c>
      <c r="K6" s="4" t="s">
        <v>1194</v>
      </c>
      <c r="L6" s="4" t="s">
        <v>1195</v>
      </c>
      <c r="M6" s="11"/>
      <c r="N6" s="11"/>
    </row>
    <row r="7" customFormat="false" ht="46.25" hidden="false" customHeight="false" outlineLevel="0" collapsed="false">
      <c r="A7" s="4" t="s">
        <v>1196</v>
      </c>
      <c r="B7" s="4" t="s">
        <v>1156</v>
      </c>
      <c r="C7" s="4" t="s">
        <v>739</v>
      </c>
      <c r="D7" s="4" t="s">
        <v>1197</v>
      </c>
      <c r="E7" s="4" t="s">
        <v>1198</v>
      </c>
      <c r="F7" s="4" t="s">
        <v>1121</v>
      </c>
      <c r="G7" s="4" t="s">
        <v>1199</v>
      </c>
      <c r="H7" s="4" t="s">
        <v>1200</v>
      </c>
      <c r="I7" s="14" t="s">
        <v>95</v>
      </c>
      <c r="J7" s="4" t="s">
        <v>77</v>
      </c>
      <c r="K7" s="4" t="s">
        <v>1201</v>
      </c>
      <c r="L7" s="4" t="s">
        <v>1202</v>
      </c>
      <c r="M7" s="11"/>
      <c r="N7" s="11"/>
    </row>
    <row r="8" customFormat="false" ht="46.25" hidden="false" customHeight="false" outlineLevel="0" collapsed="false">
      <c r="A8" s="4" t="s">
        <v>1203</v>
      </c>
      <c r="B8" s="4" t="s">
        <v>1156</v>
      </c>
      <c r="C8" s="4" t="s">
        <v>1204</v>
      </c>
      <c r="D8" s="4" t="s">
        <v>1205</v>
      </c>
      <c r="E8" s="4" t="s">
        <v>1206</v>
      </c>
      <c r="F8" s="4"/>
      <c r="G8" s="4" t="s">
        <v>1207</v>
      </c>
      <c r="H8" s="4" t="s">
        <v>1208</v>
      </c>
      <c r="I8" s="14" t="s">
        <v>95</v>
      </c>
      <c r="J8" s="4" t="s">
        <v>77</v>
      </c>
      <c r="K8" s="4" t="s">
        <v>1201</v>
      </c>
      <c r="L8" s="4" t="s">
        <v>1209</v>
      </c>
      <c r="M8" s="11"/>
      <c r="N8" s="11"/>
    </row>
    <row r="9" customFormat="false" ht="46.25" hidden="false" customHeight="false" outlineLevel="0" collapsed="false">
      <c r="A9" s="4" t="s">
        <v>1210</v>
      </c>
      <c r="B9" s="4" t="s">
        <v>1158</v>
      </c>
      <c r="C9" s="4" t="s">
        <v>1211</v>
      </c>
      <c r="D9" s="4" t="s">
        <v>1212</v>
      </c>
      <c r="E9" s="4" t="s">
        <v>1213</v>
      </c>
      <c r="F9" s="4"/>
      <c r="G9" s="4" t="s">
        <v>1214</v>
      </c>
      <c r="H9" s="4" t="s">
        <v>1215</v>
      </c>
      <c r="I9" s="16" t="s">
        <v>106</v>
      </c>
      <c r="J9" s="4" t="s">
        <v>5</v>
      </c>
      <c r="K9" s="4" t="s">
        <v>1201</v>
      </c>
      <c r="L9" s="4" t="s">
        <v>1216</v>
      </c>
      <c r="M9" s="11"/>
      <c r="N9" s="11"/>
    </row>
    <row r="10" customFormat="false" ht="35.05" hidden="false" customHeight="false" outlineLevel="0" collapsed="false">
      <c r="A10" s="4" t="s">
        <v>1217</v>
      </c>
      <c r="B10" s="4" t="s">
        <v>1158</v>
      </c>
      <c r="C10" s="4" t="s">
        <v>1218</v>
      </c>
      <c r="D10" s="4" t="s">
        <v>1219</v>
      </c>
      <c r="E10" s="4" t="s">
        <v>1220</v>
      </c>
      <c r="F10" s="4"/>
      <c r="G10" s="4" t="s">
        <v>1221</v>
      </c>
      <c r="H10" s="4" t="s">
        <v>1222</v>
      </c>
      <c r="I10" s="16" t="s">
        <v>106</v>
      </c>
      <c r="J10" s="4" t="s">
        <v>5</v>
      </c>
      <c r="K10" s="4" t="s">
        <v>1201</v>
      </c>
      <c r="L10" s="4" t="s">
        <v>1223</v>
      </c>
      <c r="M10" s="11"/>
      <c r="N10" s="11"/>
    </row>
    <row r="11" customFormat="false" ht="35.05" hidden="false" customHeight="false" outlineLevel="0" collapsed="false">
      <c r="A11" s="4" t="s">
        <v>98</v>
      </c>
      <c r="B11" s="4" t="s">
        <v>1158</v>
      </c>
      <c r="C11" s="4" t="s">
        <v>957</v>
      </c>
      <c r="D11" s="4" t="s">
        <v>1224</v>
      </c>
      <c r="E11" s="4" t="s">
        <v>1225</v>
      </c>
      <c r="F11" s="4" t="s">
        <v>1080</v>
      </c>
      <c r="G11" s="4" t="s">
        <v>1226</v>
      </c>
      <c r="H11" s="4" t="s">
        <v>1227</v>
      </c>
      <c r="I11" s="16" t="s">
        <v>106</v>
      </c>
      <c r="J11" s="4" t="s">
        <v>5</v>
      </c>
      <c r="K11" s="4" t="s">
        <v>1201</v>
      </c>
      <c r="L11" s="4" t="s">
        <v>1228</v>
      </c>
      <c r="M11" s="11"/>
      <c r="N11" s="11"/>
    </row>
    <row r="12" customFormat="false" ht="35.05" hidden="false" customHeight="false" outlineLevel="0" collapsed="false">
      <c r="A12" s="4" t="s">
        <v>338</v>
      </c>
      <c r="B12" s="4" t="s">
        <v>1156</v>
      </c>
      <c r="C12" s="4" t="s">
        <v>987</v>
      </c>
      <c r="D12" s="4" t="s">
        <v>1229</v>
      </c>
      <c r="E12" s="4" t="s">
        <v>326</v>
      </c>
      <c r="F12" s="4" t="s">
        <v>1095</v>
      </c>
      <c r="G12" s="4" t="s">
        <v>1230</v>
      </c>
      <c r="H12" s="4" t="s">
        <v>1231</v>
      </c>
      <c r="I12" s="14" t="s">
        <v>95</v>
      </c>
      <c r="J12" s="4" t="s">
        <v>77</v>
      </c>
      <c r="K12" s="4" t="s">
        <v>1201</v>
      </c>
      <c r="L12" s="4" t="s">
        <v>1232</v>
      </c>
      <c r="M12" s="11"/>
      <c r="N12" s="11"/>
    </row>
    <row r="13" customFormat="false" ht="46.25" hidden="false" customHeight="false" outlineLevel="0" collapsed="false">
      <c r="A13" s="4" t="s">
        <v>1233</v>
      </c>
      <c r="B13" s="4" t="s">
        <v>1156</v>
      </c>
      <c r="C13" s="4" t="s">
        <v>1234</v>
      </c>
      <c r="D13" s="4" t="s">
        <v>1235</v>
      </c>
      <c r="E13" s="4" t="s">
        <v>1236</v>
      </c>
      <c r="F13" s="4"/>
      <c r="G13" s="4" t="s">
        <v>1237</v>
      </c>
      <c r="H13" s="4" t="s">
        <v>1238</v>
      </c>
      <c r="I13" s="14" t="s">
        <v>95</v>
      </c>
      <c r="J13" s="4" t="s">
        <v>77</v>
      </c>
      <c r="K13" s="4" t="s">
        <v>1201</v>
      </c>
      <c r="L13" s="4" t="s">
        <v>1239</v>
      </c>
      <c r="M13" s="11"/>
      <c r="N13" s="11"/>
    </row>
    <row r="14" customFormat="false" ht="23.85" hidden="false" customHeight="false" outlineLevel="0" collapsed="false">
      <c r="A14" s="4" t="s">
        <v>1240</v>
      </c>
      <c r="B14" s="4" t="s">
        <v>1160</v>
      </c>
      <c r="C14" s="4" t="s">
        <v>1241</v>
      </c>
      <c r="D14" s="4" t="s">
        <v>1242</v>
      </c>
      <c r="E14" s="4" t="s">
        <v>673</v>
      </c>
      <c r="F14" s="4"/>
      <c r="G14" s="4" t="s">
        <v>1243</v>
      </c>
      <c r="H14" s="4" t="s">
        <v>1244</v>
      </c>
      <c r="I14" s="16" t="s">
        <v>106</v>
      </c>
      <c r="J14" s="4" t="s">
        <v>5</v>
      </c>
      <c r="K14" s="4" t="s">
        <v>1201</v>
      </c>
      <c r="L14" s="4" t="s">
        <v>1245</v>
      </c>
      <c r="M14" s="11"/>
      <c r="N14" s="11"/>
    </row>
    <row r="15" customFormat="false" ht="68.65" hidden="false" customHeight="false" outlineLevel="0" collapsed="false">
      <c r="A15" s="4" t="s">
        <v>1246</v>
      </c>
      <c r="B15" s="4" t="s">
        <v>1160</v>
      </c>
      <c r="C15" s="4" t="s">
        <v>739</v>
      </c>
      <c r="D15" s="4" t="s">
        <v>1247</v>
      </c>
      <c r="E15" s="4" t="s">
        <v>1198</v>
      </c>
      <c r="F15" s="4"/>
      <c r="G15" s="4" t="s">
        <v>1248</v>
      </c>
      <c r="H15" s="4" t="s">
        <v>1249</v>
      </c>
      <c r="I15" s="14" t="s">
        <v>95</v>
      </c>
      <c r="J15" s="4" t="s">
        <v>77</v>
      </c>
      <c r="K15" s="4" t="s">
        <v>1250</v>
      </c>
      <c r="L15" s="4" t="s">
        <v>1251</v>
      </c>
      <c r="M15" s="11"/>
      <c r="N15" s="11"/>
    </row>
    <row r="16" customFormat="false" ht="23.85" hidden="false" customHeight="false" outlineLevel="0" collapsed="false">
      <c r="A16" s="4" t="s">
        <v>663</v>
      </c>
      <c r="B16" s="4" t="s">
        <v>1162</v>
      </c>
      <c r="C16" s="4" t="s">
        <v>1252</v>
      </c>
      <c r="D16" s="4" t="s">
        <v>1253</v>
      </c>
      <c r="E16" s="4" t="s">
        <v>656</v>
      </c>
      <c r="F16" s="4" t="s">
        <v>1117</v>
      </c>
      <c r="G16" s="4" t="s">
        <v>1254</v>
      </c>
      <c r="H16" s="4" t="s">
        <v>1255</v>
      </c>
      <c r="I16" s="13" t="s">
        <v>191</v>
      </c>
      <c r="J16" s="4" t="s">
        <v>6</v>
      </c>
      <c r="K16" s="4" t="s">
        <v>1256</v>
      </c>
      <c r="L16" s="4"/>
      <c r="M16" s="11"/>
      <c r="N16" s="11"/>
    </row>
    <row r="17" customFormat="false" ht="23.85" hidden="false" customHeight="false" outlineLevel="0" collapsed="false">
      <c r="A17" s="4" t="s">
        <v>1257</v>
      </c>
      <c r="B17" s="4" t="s">
        <v>1162</v>
      </c>
      <c r="C17" s="4" t="s">
        <v>739</v>
      </c>
      <c r="D17" s="4" t="s">
        <v>1258</v>
      </c>
      <c r="E17" s="4" t="s">
        <v>797</v>
      </c>
      <c r="F17" s="4" t="s">
        <v>1121</v>
      </c>
      <c r="G17" s="4" t="s">
        <v>1259</v>
      </c>
      <c r="H17" s="4" t="s">
        <v>1260</v>
      </c>
      <c r="I17" s="16" t="s">
        <v>106</v>
      </c>
      <c r="J17" s="4" t="s">
        <v>5</v>
      </c>
      <c r="K17" s="4" t="s">
        <v>1256</v>
      </c>
      <c r="L17" s="4"/>
      <c r="M17" s="11"/>
      <c r="N17" s="11"/>
    </row>
    <row r="18" customFormat="false" ht="23.85" hidden="false" customHeight="false" outlineLevel="0" collapsed="false">
      <c r="A18" s="4" t="s">
        <v>252</v>
      </c>
      <c r="B18" s="4" t="s">
        <v>1164</v>
      </c>
      <c r="C18" s="4" t="s">
        <v>976</v>
      </c>
      <c r="D18" s="4" t="s">
        <v>1261</v>
      </c>
      <c r="E18" s="4" t="s">
        <v>1262</v>
      </c>
      <c r="F18" s="4"/>
      <c r="G18" s="4" t="s">
        <v>1263</v>
      </c>
      <c r="H18" s="4" t="s">
        <v>1264</v>
      </c>
      <c r="I18" s="13" t="s">
        <v>191</v>
      </c>
      <c r="J18" s="4" t="s">
        <v>6</v>
      </c>
      <c r="K18" s="4" t="s">
        <v>1265</v>
      </c>
      <c r="L18" s="4"/>
      <c r="M18" s="11"/>
      <c r="N18" s="11"/>
    </row>
    <row r="19" customFormat="false" ht="23.85" hidden="false" customHeight="false" outlineLevel="0" collapsed="false">
      <c r="A19" s="4" t="s">
        <v>235</v>
      </c>
      <c r="B19" s="4" t="s">
        <v>1164</v>
      </c>
      <c r="C19" s="4" t="s">
        <v>1266</v>
      </c>
      <c r="D19" s="4" t="s">
        <v>1267</v>
      </c>
      <c r="E19" s="4" t="s">
        <v>226</v>
      </c>
      <c r="F19" s="4"/>
      <c r="G19" s="4" t="s">
        <v>1268</v>
      </c>
      <c r="H19" s="4" t="s">
        <v>1269</v>
      </c>
      <c r="I19" s="13" t="s">
        <v>191</v>
      </c>
      <c r="J19" s="4" t="s">
        <v>6</v>
      </c>
      <c r="K19" s="4" t="s">
        <v>1265</v>
      </c>
      <c r="L19" s="4"/>
      <c r="M19" s="11"/>
      <c r="N19" s="11"/>
    </row>
  </sheetData>
  <autoFilter ref="A4:N19"/>
  <dataValidations count="1">
    <dataValidation allowBlank="true" errorStyle="stop" operator="between" showDropDown="false" showErrorMessage="false" showInputMessage="false" sqref="M5:M19" type="list">
      <formula1>"Passed,Failed,Not re-run"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44"/>
    <col collapsed="false" customWidth="true" hidden="false" outlineLevel="0" max="4" min="4" style="0" width="10"/>
    <col collapsed="false" customWidth="true" hidden="false" outlineLevel="0" max="5" min="5" style="0" width="46"/>
    <col collapsed="false" customWidth="true" hidden="false" outlineLevel="0" max="6" min="6" style="0" width="10"/>
    <col collapsed="false" customWidth="true" hidden="false" outlineLevel="0" max="7" min="7" style="0" width="14"/>
    <col collapsed="false" customWidth="true" hidden="false" outlineLevel="0" max="8" min="8" style="0" width="30"/>
    <col collapsed="false" customWidth="true" hidden="false" outlineLevel="0" max="9" min="9" style="0" width="12"/>
    <col collapsed="false" customWidth="true" hidden="false" outlineLevel="0" max="10" min="10" style="0" width="30"/>
  </cols>
  <sheetData>
    <row r="1" customFormat="false" ht="17.35" hidden="false" customHeight="false" outlineLevel="0" collapsed="false">
      <c r="A1" s="1" t="s">
        <v>1270</v>
      </c>
    </row>
    <row r="2" customFormat="false" ht="15" hidden="false" customHeight="false" outlineLevel="0" collapsed="false">
      <c r="A2" s="2" t="s">
        <v>1271</v>
      </c>
    </row>
    <row r="4" customFormat="false" ht="31.5" hidden="false" customHeight="true" outlineLevel="0" collapsed="false">
      <c r="A4" s="3" t="s">
        <v>1272</v>
      </c>
      <c r="B4" s="3" t="s">
        <v>1273</v>
      </c>
      <c r="C4" s="3" t="s">
        <v>1274</v>
      </c>
      <c r="D4" s="3" t="s">
        <v>1275</v>
      </c>
      <c r="E4" s="3" t="s">
        <v>1276</v>
      </c>
      <c r="F4" s="3" t="s">
        <v>1277</v>
      </c>
      <c r="G4" s="3" t="s">
        <v>1176</v>
      </c>
      <c r="H4" s="3" t="s">
        <v>1278</v>
      </c>
      <c r="I4" s="3" t="s">
        <v>1279</v>
      </c>
      <c r="J4" s="3" t="s">
        <v>1280</v>
      </c>
    </row>
    <row r="5" customFormat="false" ht="23.85" hidden="false" customHeight="false" outlineLevel="0" collapsed="false">
      <c r="A5" s="4" t="s">
        <v>1281</v>
      </c>
      <c r="B5" s="4" t="s">
        <v>1282</v>
      </c>
      <c r="C5" s="4" t="s">
        <v>1283</v>
      </c>
      <c r="D5" s="4" t="n">
        <v>5</v>
      </c>
      <c r="E5" s="4"/>
      <c r="F5" s="4" t="n">
        <f aca="false">IF(E5="",0,LEN(E5)-LEN(SUBSTITUTE(E5,"TC-","")))/3</f>
        <v>0</v>
      </c>
      <c r="G5" s="11" t="s">
        <v>1284</v>
      </c>
      <c r="H5" s="11"/>
      <c r="I5" s="11"/>
      <c r="J5" s="11"/>
    </row>
    <row r="6" customFormat="false" ht="35.05" hidden="false" customHeight="false" outlineLevel="0" collapsed="false">
      <c r="A6" s="4" t="s">
        <v>1285</v>
      </c>
      <c r="B6" s="4" t="s">
        <v>1286</v>
      </c>
      <c r="C6" s="4" t="s">
        <v>1287</v>
      </c>
      <c r="D6" s="4" t="n">
        <v>10</v>
      </c>
      <c r="E6" s="4"/>
      <c r="F6" s="4" t="n">
        <f aca="false">IF(E6="",0,LEN(E6)-LEN(SUBSTITUTE(E6,"TC-","")))/3</f>
        <v>0</v>
      </c>
      <c r="G6" s="11" t="s">
        <v>1284</v>
      </c>
      <c r="H6" s="11"/>
      <c r="I6" s="11"/>
      <c r="J6" s="11"/>
    </row>
    <row r="7" customFormat="false" ht="23.85" hidden="false" customHeight="false" outlineLevel="0" collapsed="false">
      <c r="A7" s="4" t="s">
        <v>840</v>
      </c>
      <c r="B7" s="4" t="s">
        <v>1288</v>
      </c>
      <c r="C7" s="4" t="s">
        <v>1289</v>
      </c>
      <c r="D7" s="4" t="n">
        <v>5</v>
      </c>
      <c r="E7" s="4" t="s">
        <v>1069</v>
      </c>
      <c r="F7" s="4" t="n">
        <f aca="false">IF(E7="",0,LEN(E7)-LEN(SUBSTITUTE(E7,"TC-","")))/3</f>
        <v>10</v>
      </c>
      <c r="G7" s="11" t="s">
        <v>1284</v>
      </c>
      <c r="H7" s="11"/>
      <c r="I7" s="11"/>
      <c r="J7" s="11"/>
    </row>
    <row r="8" customFormat="false" ht="23.85" hidden="false" customHeight="false" outlineLevel="0" collapsed="false">
      <c r="A8" s="4" t="s">
        <v>1290</v>
      </c>
      <c r="B8" s="4" t="s">
        <v>1291</v>
      </c>
      <c r="C8" s="4" t="s">
        <v>1292</v>
      </c>
      <c r="D8" s="4" t="n">
        <v>10</v>
      </c>
      <c r="E8" s="4"/>
      <c r="F8" s="4" t="n">
        <f aca="false">IF(E8="",0,LEN(E8)-LEN(SUBSTITUTE(E8,"TC-","")))/3</f>
        <v>0</v>
      </c>
      <c r="G8" s="11" t="s">
        <v>1284</v>
      </c>
      <c r="H8" s="11"/>
      <c r="I8" s="11"/>
      <c r="J8" s="11"/>
    </row>
    <row r="9" customFormat="false" ht="23.85" hidden="false" customHeight="false" outlineLevel="0" collapsed="false">
      <c r="A9" s="4" t="s">
        <v>185</v>
      </c>
      <c r="B9" s="4" t="s">
        <v>1293</v>
      </c>
      <c r="C9" s="4" t="s">
        <v>1294</v>
      </c>
      <c r="D9" s="4" t="n">
        <v>5</v>
      </c>
      <c r="E9" s="4" t="s">
        <v>178</v>
      </c>
      <c r="F9" s="4" t="n">
        <f aca="false">IF(E9="",0,LEN(E9)-LEN(SUBSTITUTE(E9,"TC-","")))/3</f>
        <v>1</v>
      </c>
      <c r="G9" s="11" t="s">
        <v>1284</v>
      </c>
      <c r="H9" s="11"/>
      <c r="I9" s="11"/>
      <c r="J9" s="11"/>
    </row>
    <row r="10" customFormat="false" ht="15" hidden="false" customHeight="false" outlineLevel="0" collapsed="false">
      <c r="A10" s="4" t="s">
        <v>169</v>
      </c>
      <c r="B10" s="4" t="s">
        <v>1295</v>
      </c>
      <c r="C10" s="4" t="s">
        <v>1296</v>
      </c>
      <c r="D10" s="4" t="n">
        <v>5</v>
      </c>
      <c r="E10" s="4" t="s">
        <v>1297</v>
      </c>
      <c r="F10" s="4" t="n">
        <f aca="false">IF(E10="",0,LEN(E10)-LEN(SUBSTITUTE(E10,"TC-","")))/3</f>
        <v>3</v>
      </c>
      <c r="G10" s="11" t="s">
        <v>1284</v>
      </c>
      <c r="H10" s="11"/>
      <c r="I10" s="11"/>
      <c r="J10" s="11"/>
    </row>
    <row r="11" customFormat="false" ht="23.85" hidden="false" customHeight="false" outlineLevel="0" collapsed="false">
      <c r="A11" s="4" t="s">
        <v>1298</v>
      </c>
      <c r="B11" s="4" t="s">
        <v>1299</v>
      </c>
      <c r="C11" s="4" t="s">
        <v>1300</v>
      </c>
      <c r="D11" s="4" t="n">
        <v>5</v>
      </c>
      <c r="E11" s="4" t="s">
        <v>149</v>
      </c>
      <c r="F11" s="4" t="n">
        <f aca="false">IF(E11="",0,LEN(E11)-LEN(SUBSTITUTE(E11,"TC-","")))/3</f>
        <v>1</v>
      </c>
      <c r="G11" s="11" t="s">
        <v>1284</v>
      </c>
      <c r="H11" s="11"/>
      <c r="I11" s="11"/>
      <c r="J11" s="11"/>
    </row>
    <row r="12" customFormat="false" ht="15" hidden="false" customHeight="false" outlineLevel="0" collapsed="false">
      <c r="A12" s="4" t="s">
        <v>1301</v>
      </c>
      <c r="B12" s="4" t="s">
        <v>1302</v>
      </c>
      <c r="C12" s="4" t="s">
        <v>1303</v>
      </c>
      <c r="D12" s="4" t="n">
        <v>3</v>
      </c>
      <c r="E12" s="4"/>
      <c r="F12" s="4" t="n">
        <f aca="false">IF(E12="",0,LEN(E12)-LEN(SUBSTITUTE(E12,"TC-","")))/3</f>
        <v>0</v>
      </c>
      <c r="G12" s="11" t="s">
        <v>1284</v>
      </c>
      <c r="H12" s="11"/>
      <c r="I12" s="11"/>
      <c r="J12" s="11"/>
    </row>
    <row r="13" customFormat="false" ht="23.85" hidden="false" customHeight="false" outlineLevel="0" collapsed="false">
      <c r="A13" s="4" t="s">
        <v>1304</v>
      </c>
      <c r="B13" s="4" t="s">
        <v>1305</v>
      </c>
      <c r="C13" s="4" t="s">
        <v>1306</v>
      </c>
      <c r="D13" s="4" t="n">
        <v>5</v>
      </c>
      <c r="E13" s="4"/>
      <c r="F13" s="4" t="n">
        <f aca="false">IF(E13="",0,LEN(E13)-LEN(SUBSTITUTE(E13,"TC-","")))/3</f>
        <v>0</v>
      </c>
      <c r="G13" s="11" t="s">
        <v>1284</v>
      </c>
      <c r="H13" s="11"/>
      <c r="I13" s="11"/>
      <c r="J13" s="11"/>
    </row>
    <row r="14" customFormat="false" ht="35.05" hidden="false" customHeight="false" outlineLevel="0" collapsed="false">
      <c r="A14" s="4" t="s">
        <v>414</v>
      </c>
      <c r="B14" s="4" t="s">
        <v>1307</v>
      </c>
      <c r="C14" s="4" t="s">
        <v>1308</v>
      </c>
      <c r="D14" s="4" t="n">
        <v>10</v>
      </c>
      <c r="E14" s="4" t="s">
        <v>1309</v>
      </c>
      <c r="F14" s="4" t="n">
        <f aca="false">IF(E14="",0,LEN(E14)-LEN(SUBSTITUTE(E14,"TC-","")))/3</f>
        <v>4</v>
      </c>
      <c r="G14" s="11" t="s">
        <v>1284</v>
      </c>
      <c r="H14" s="11"/>
      <c r="I14" s="11"/>
      <c r="J14" s="11"/>
    </row>
    <row r="15" customFormat="false" ht="15" hidden="false" customHeight="false" outlineLevel="0" collapsed="false">
      <c r="A15" s="4" t="s">
        <v>1310</v>
      </c>
      <c r="B15" s="4" t="s">
        <v>1311</v>
      </c>
      <c r="C15" s="4" t="s">
        <v>1312</v>
      </c>
      <c r="D15" s="4" t="n">
        <v>3</v>
      </c>
      <c r="E15" s="4"/>
      <c r="F15" s="4" t="n">
        <f aca="false">IF(E15="",0,LEN(E15)-LEN(SUBSTITUTE(E15,"TC-","")))/3</f>
        <v>0</v>
      </c>
      <c r="G15" s="11" t="s">
        <v>1284</v>
      </c>
      <c r="H15" s="11"/>
      <c r="I15" s="11"/>
      <c r="J15" s="11"/>
    </row>
    <row r="16" customFormat="false" ht="23.85" hidden="false" customHeight="false" outlineLevel="0" collapsed="false">
      <c r="A16" s="4" t="s">
        <v>506</v>
      </c>
      <c r="B16" s="4" t="s">
        <v>1313</v>
      </c>
      <c r="C16" s="4" t="s">
        <v>1314</v>
      </c>
      <c r="D16" s="4" t="n">
        <v>5</v>
      </c>
      <c r="E16" s="4" t="s">
        <v>1315</v>
      </c>
      <c r="F16" s="4" t="n">
        <f aca="false">IF(E16="",0,LEN(E16)-LEN(SUBSTITUTE(E16,"TC-","")))/3</f>
        <v>2</v>
      </c>
      <c r="G16" s="11" t="s">
        <v>1284</v>
      </c>
      <c r="H16" s="11"/>
      <c r="I16" s="11"/>
      <c r="J16" s="11"/>
    </row>
    <row r="17" customFormat="false" ht="15" hidden="false" customHeight="false" outlineLevel="0" collapsed="false">
      <c r="A17" s="4" t="s">
        <v>1316</v>
      </c>
      <c r="B17" s="4" t="s">
        <v>1317</v>
      </c>
      <c r="C17" s="4" t="s">
        <v>1318</v>
      </c>
      <c r="D17" s="4" t="n">
        <v>3</v>
      </c>
      <c r="E17" s="4"/>
      <c r="F17" s="4" t="n">
        <f aca="false">IF(E17="",0,LEN(E17)-LEN(SUBSTITUTE(E17,"TC-","")))/3</f>
        <v>0</v>
      </c>
      <c r="G17" s="11" t="s">
        <v>1284</v>
      </c>
      <c r="H17" s="11"/>
      <c r="I17" s="11"/>
      <c r="J17" s="11"/>
    </row>
    <row r="18" customFormat="false" ht="23.85" hidden="false" customHeight="false" outlineLevel="0" collapsed="false">
      <c r="A18" s="4" t="s">
        <v>765</v>
      </c>
      <c r="B18" s="4" t="s">
        <v>1319</v>
      </c>
      <c r="C18" s="4" t="s">
        <v>1320</v>
      </c>
      <c r="D18" s="4" t="n">
        <v>5</v>
      </c>
      <c r="E18" s="4" t="s">
        <v>1321</v>
      </c>
      <c r="F18" s="4" t="n">
        <f aca="false">IF(E18="",0,LEN(E18)-LEN(SUBSTITUTE(E18,"TC-","")))/3</f>
        <v>3</v>
      </c>
      <c r="G18" s="11" t="s">
        <v>1284</v>
      </c>
      <c r="H18" s="11"/>
      <c r="I18" s="11"/>
      <c r="J18" s="11"/>
    </row>
    <row r="19" customFormat="false" ht="23.85" hidden="false" customHeight="false" outlineLevel="0" collapsed="false">
      <c r="A19" s="4" t="s">
        <v>1322</v>
      </c>
      <c r="B19" s="4" t="s">
        <v>1323</v>
      </c>
      <c r="C19" s="4" t="s">
        <v>1324</v>
      </c>
      <c r="D19" s="4" t="n">
        <v>20</v>
      </c>
      <c r="E19" s="4"/>
      <c r="F19" s="4" t="n">
        <f aca="false">IF(E19="",0,LEN(E19)-LEN(SUBSTITUTE(E19,"TC-","")))/3</f>
        <v>0</v>
      </c>
      <c r="G19" s="11" t="s">
        <v>1284</v>
      </c>
      <c r="H19" s="11"/>
      <c r="I19" s="11"/>
      <c r="J19" s="11"/>
    </row>
    <row r="21" customFormat="false" ht="15" hidden="false" customHeight="false" outlineLevel="0" collapsed="false">
      <c r="A21" s="9" t="s">
        <v>1325</v>
      </c>
      <c r="D21" s="8" t="n">
        <f aca="false">SUM(D5:D19)</f>
        <v>99</v>
      </c>
    </row>
    <row r="22" customFormat="false" ht="15" hidden="false" customHeight="false" outlineLevel="0" collapsed="false">
      <c r="A22" s="9" t="s">
        <v>1326</v>
      </c>
      <c r="D22" s="8" t="str">
        <f aca="false">COUNTIF(G5:G19,"Done")&amp;" of "&amp;COUNTA(A5:A19)</f>
        <v>0 of 15</v>
      </c>
    </row>
    <row r="24" customFormat="false" ht="15" hidden="false" customHeight="false" outlineLevel="0" collapsed="false">
      <c r="A24" s="10" t="s">
        <v>1327</v>
      </c>
    </row>
  </sheetData>
  <dataValidations count="1">
    <dataValidation allowBlank="false" errorStyle="stop" operator="between" showDropDown="false" showErrorMessage="false" showInputMessage="false" sqref="G5:G19" type="list">
      <formula1>"Not started,In progress,Done,Not possible"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70"/>
    <col collapsed="false" customWidth="true" hidden="false" outlineLevel="0" max="4" min="4" style="0" width="40"/>
    <col collapsed="false" customWidth="true" hidden="false" outlineLevel="0" max="5" min="5" style="0" width="46"/>
  </cols>
  <sheetData>
    <row r="1" customFormat="false" ht="17.35" hidden="false" customHeight="false" outlineLevel="0" collapsed="false">
      <c r="A1" s="1" t="s">
        <v>1328</v>
      </c>
    </row>
    <row r="3" customFormat="false" ht="31.5" hidden="false" customHeight="true" outlineLevel="0" collapsed="false">
      <c r="A3" s="3" t="s">
        <v>1329</v>
      </c>
      <c r="B3" s="3" t="s">
        <v>1330</v>
      </c>
      <c r="C3" s="3" t="s">
        <v>1331</v>
      </c>
      <c r="D3" s="3" t="s">
        <v>952</v>
      </c>
      <c r="E3" s="3" t="s">
        <v>1332</v>
      </c>
    </row>
    <row r="4" customFormat="false" ht="35.05" hidden="false" customHeight="false" outlineLevel="0" collapsed="false">
      <c r="A4" s="4" t="n">
        <v>1</v>
      </c>
      <c r="B4" s="4" t="s">
        <v>1333</v>
      </c>
      <c r="C4" s="4" t="s">
        <v>1334</v>
      </c>
      <c r="D4" s="4" t="s">
        <v>1335</v>
      </c>
      <c r="E4" s="4" t="s">
        <v>1336</v>
      </c>
    </row>
    <row r="5" customFormat="false" ht="35.05" hidden="false" customHeight="false" outlineLevel="0" collapsed="false">
      <c r="A5" s="4" t="n">
        <v>2</v>
      </c>
      <c r="B5" s="4" t="s">
        <v>1337</v>
      </c>
      <c r="C5" s="4" t="s">
        <v>1338</v>
      </c>
      <c r="D5" s="4" t="s">
        <v>1339</v>
      </c>
      <c r="E5" s="4" t="s">
        <v>1340</v>
      </c>
    </row>
    <row r="6" customFormat="false" ht="23.85" hidden="false" customHeight="false" outlineLevel="0" collapsed="false">
      <c r="A6" s="4" t="n">
        <v>3</v>
      </c>
      <c r="B6" s="4" t="s">
        <v>834</v>
      </c>
      <c r="C6" s="4" t="s">
        <v>1341</v>
      </c>
      <c r="D6" s="4" t="s">
        <v>1342</v>
      </c>
      <c r="E6" s="4" t="s">
        <v>1343</v>
      </c>
    </row>
    <row r="7" customFormat="false" ht="23.85" hidden="false" customHeight="false" outlineLevel="0" collapsed="false">
      <c r="A7" s="4" t="n">
        <v>4</v>
      </c>
      <c r="B7" s="4" t="s">
        <v>1344</v>
      </c>
      <c r="C7" s="4" t="s">
        <v>1345</v>
      </c>
      <c r="D7" s="4" t="s">
        <v>1346</v>
      </c>
      <c r="E7" s="4" t="s">
        <v>1347</v>
      </c>
    </row>
    <row r="8" customFormat="false" ht="23.85" hidden="false" customHeight="false" outlineLevel="0" collapsed="false">
      <c r="A8" s="4" t="n">
        <v>5</v>
      </c>
      <c r="B8" s="4" t="s">
        <v>1348</v>
      </c>
      <c r="C8" s="4" t="s">
        <v>1349</v>
      </c>
      <c r="D8" s="4" t="s">
        <v>1350</v>
      </c>
      <c r="E8" s="4" t="s">
        <v>1351</v>
      </c>
    </row>
    <row r="9" customFormat="false" ht="23.85" hidden="false" customHeight="false" outlineLevel="0" collapsed="false">
      <c r="A9" s="4" t="n">
        <v>6</v>
      </c>
      <c r="B9" s="4" t="s">
        <v>1352</v>
      </c>
      <c r="C9" s="4" t="s">
        <v>1353</v>
      </c>
      <c r="D9" s="4" t="s">
        <v>1354</v>
      </c>
      <c r="E9" s="4" t="s">
        <v>1355</v>
      </c>
    </row>
    <row r="10" customFormat="false" ht="23.85" hidden="false" customHeight="false" outlineLevel="0" collapsed="false">
      <c r="A10" s="4" t="n">
        <v>7</v>
      </c>
      <c r="B10" s="4" t="s">
        <v>1356</v>
      </c>
      <c r="C10" s="4" t="s">
        <v>1357</v>
      </c>
      <c r="D10" s="4" t="s">
        <v>1358</v>
      </c>
      <c r="E10" s="4" t="s">
        <v>1359</v>
      </c>
    </row>
    <row r="11" customFormat="false" ht="23.85" hidden="false" customHeight="false" outlineLevel="0" collapsed="false">
      <c r="A11" s="4" t="n">
        <v>8</v>
      </c>
      <c r="B11" s="4" t="s">
        <v>1360</v>
      </c>
      <c r="C11" s="4" t="s">
        <v>1361</v>
      </c>
      <c r="D11" s="4" t="s">
        <v>1362</v>
      </c>
      <c r="E11" s="4" t="s">
        <v>1363</v>
      </c>
    </row>
    <row r="12" customFormat="false" ht="23.85" hidden="false" customHeight="false" outlineLevel="0" collapsed="false">
      <c r="A12" s="4" t="n">
        <v>9</v>
      </c>
      <c r="B12" s="4" t="s">
        <v>1173</v>
      </c>
      <c r="C12" s="4" t="s">
        <v>1364</v>
      </c>
      <c r="D12" s="4" t="s">
        <v>1365</v>
      </c>
      <c r="E12" s="4" t="s">
        <v>1366</v>
      </c>
    </row>
    <row r="13" customFormat="false" ht="15" hidden="false" customHeight="false" outlineLevel="0" collapsed="false">
      <c r="A13" s="4" t="n">
        <v>10</v>
      </c>
      <c r="B13" s="4" t="s">
        <v>1367</v>
      </c>
      <c r="C13" s="4" t="s">
        <v>1368</v>
      </c>
      <c r="D13" s="4" t="s">
        <v>1369</v>
      </c>
      <c r="E13" s="4" t="s">
        <v>1370</v>
      </c>
    </row>
    <row r="14" customFormat="false" ht="15" hidden="false" customHeight="false" outlineLevel="0" collapsed="false">
      <c r="A14" s="4" t="n">
        <v>11</v>
      </c>
      <c r="B14" s="4" t="s">
        <v>1371</v>
      </c>
      <c r="C14" s="4" t="s">
        <v>1372</v>
      </c>
      <c r="D14" s="4" t="s">
        <v>1373</v>
      </c>
      <c r="E14" s="4" t="s">
        <v>1374</v>
      </c>
    </row>
    <row r="15" customFormat="false" ht="23.85" hidden="false" customHeight="false" outlineLevel="0" collapsed="false">
      <c r="A15" s="4" t="n">
        <v>12</v>
      </c>
      <c r="B15" s="4" t="s">
        <v>1375</v>
      </c>
      <c r="C15" s="4" t="s">
        <v>1376</v>
      </c>
      <c r="D15" s="4" t="s">
        <v>1377</v>
      </c>
      <c r="E15" s="4" t="s">
        <v>1378</v>
      </c>
    </row>
    <row r="16" customFormat="false" ht="23.85" hidden="false" customHeight="false" outlineLevel="0" collapsed="false">
      <c r="A16" s="4" t="n">
        <v>13</v>
      </c>
      <c r="B16" s="4" t="s">
        <v>1379</v>
      </c>
      <c r="C16" s="4" t="s">
        <v>1380</v>
      </c>
      <c r="D16" s="4" t="s">
        <v>1381</v>
      </c>
      <c r="E16" s="4" t="s">
        <v>1382</v>
      </c>
    </row>
    <row r="17" customFormat="false" ht="35.05" hidden="false" customHeight="false" outlineLevel="0" collapsed="false">
      <c r="A17" s="4" t="n">
        <v>14</v>
      </c>
      <c r="B17" s="4" t="s">
        <v>1383</v>
      </c>
      <c r="C17" s="4" t="s">
        <v>1384</v>
      </c>
      <c r="D17" s="4" t="s">
        <v>1385</v>
      </c>
      <c r="E17" s="4" t="s">
        <v>1386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2026-10-28T10:22:33Z</dcterms:created>
  <dc:creator>openpyxl</dc:creator>
  <dc:description/>
  <dc:language>en-US</dc:language>
  <cp:lastModifiedBy/>
  <dcterms:modified xsi:type="dcterms:W3CDTF">2026-10-28T10:22:33Z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